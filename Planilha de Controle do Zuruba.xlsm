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EstaPastaDeTrabalho" defaultThemeVersion="166925"/>
  <xr:revisionPtr revIDLastSave="0" documentId="13_ncr:1_{B7FD3643-C4B1-4C97-8FAE-A8AEEC325ED3}" xr6:coauthVersionLast="46" xr6:coauthVersionMax="46" xr10:uidLastSave="{00000000-0000-0000-0000-000000000000}"/>
  <bookViews>
    <workbookView xWindow="-120" yWindow="-120" windowWidth="38640" windowHeight="15840" xr2:uid="{80B10FB7-BFE2-437E-A9FD-B896A8A9380D}"/>
  </bookViews>
  <sheets>
    <sheet name="Painel" sheetId="7" r:id="rId1"/>
    <sheet name="Cartão Crédito" sheetId="4" r:id="rId2"/>
    <sheet name="Movimentação Bancária" sheetId="6" r:id="rId3"/>
    <sheet name="Painel - FIIs" sheetId="3" r:id="rId4"/>
    <sheet name="Movimentações" sheetId="2" r:id="rId5"/>
    <sheet name="FII - Avaliações" sheetId="8" r:id="rId6"/>
    <sheet name="Bases (Fundos e ADMs)" sheetId="1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4" l="1"/>
  <c r="X3" i="4"/>
  <c r="Y3" i="4"/>
  <c r="R3" i="4"/>
  <c r="Z3" i="4" l="1"/>
  <c r="X4" i="2" l="1"/>
  <c r="Y4" i="2"/>
  <c r="Z4" i="2" s="1"/>
  <c r="H4" i="2"/>
  <c r="I4" i="2"/>
  <c r="L4" i="6"/>
  <c r="F4" i="6"/>
  <c r="I15" i="8" l="1"/>
  <c r="I6" i="8"/>
  <c r="I7" i="8"/>
  <c r="I8" i="8"/>
  <c r="I9" i="8"/>
  <c r="I10" i="8"/>
  <c r="I11" i="8"/>
  <c r="I12" i="8"/>
  <c r="I13" i="8"/>
  <c r="I14" i="8"/>
  <c r="I5" i="8"/>
  <c r="Q5" i="7"/>
  <c r="O5" i="7"/>
  <c r="E16" i="7" a="1"/>
  <c r="E15" i="7" a="1"/>
  <c r="E18" i="7" a="1"/>
  <c r="L15" i="7" a="1"/>
  <c r="M16" i="7" a="1"/>
  <c r="Q13" i="7" a="1"/>
  <c r="P17" i="7" a="1"/>
  <c r="Q12" i="7" a="1"/>
  <c r="O13" i="7" a="1"/>
  <c r="Q17" i="7" a="1"/>
  <c r="Q15" i="7" a="1"/>
  <c r="O20" i="7" a="1"/>
  <c r="N19" i="7" a="1"/>
  <c r="O10" i="7" a="1"/>
  <c r="R15" i="7" a="1"/>
  <c r="N14" i="7" a="1"/>
  <c r="N10" i="7" a="1"/>
  <c r="R18" i="7" a="1"/>
  <c r="Q7" i="7" a="1"/>
  <c r="M14" i="7" a="1"/>
  <c r="N8" i="7" a="1"/>
  <c r="Q10" i="7" a="1"/>
  <c r="Q11" i="7" a="1"/>
  <c r="O7" i="7" a="1"/>
  <c r="N13" i="7" a="1"/>
  <c r="P18" i="7" a="1"/>
  <c r="K20" i="7" a="1"/>
  <c r="K12" i="7" a="1"/>
  <c r="P9" i="7" a="1"/>
  <c r="P13" i="7" a="1"/>
  <c r="P15" i="7" a="1"/>
  <c r="P7" i="7" a="1"/>
  <c r="R9" i="7" a="1"/>
  <c r="K18" i="7" a="1"/>
  <c r="M18" i="7" a="1"/>
  <c r="N9" i="7" a="1"/>
  <c r="N12" i="7" a="1"/>
  <c r="L18" i="7" a="1"/>
  <c r="K19" i="7" a="1"/>
  <c r="O12" i="7" a="1"/>
  <c r="R12" i="7" a="1"/>
  <c r="Q20" i="7" a="1"/>
  <c r="O16" i="7" a="1"/>
  <c r="N16" i="7" a="1"/>
  <c r="R8" i="7" a="1"/>
  <c r="P16" i="7" a="1"/>
  <c r="P12" i="7" a="1"/>
  <c r="L20" i="7" a="1"/>
  <c r="M13" i="7" a="1"/>
  <c r="O8" i="7" a="1"/>
  <c r="Q16" i="7" a="1"/>
  <c r="O17" i="7" a="1"/>
  <c r="M11" i="7" a="1"/>
  <c r="M10" i="7" a="1"/>
  <c r="P11" i="7" a="1"/>
  <c r="Q18" i="7" a="1"/>
  <c r="O15" i="7" a="1"/>
  <c r="K16" i="7" a="1"/>
  <c r="R14" i="7" a="1"/>
  <c r="K10" i="7" a="1"/>
  <c r="Q8" i="7" a="1"/>
  <c r="O19" i="7" a="1"/>
  <c r="R16" i="7" a="1"/>
  <c r="L19" i="7" a="1"/>
  <c r="N7" i="7" a="1"/>
  <c r="K9" i="7" a="1"/>
  <c r="O14" i="7" a="1"/>
  <c r="M19" i="7" a="1"/>
  <c r="L16" i="7" a="1"/>
  <c r="M17" i="7" a="1"/>
  <c r="R17" i="7" a="1"/>
  <c r="L10" i="7" a="1"/>
  <c r="M15" i="7" a="1"/>
  <c r="R13" i="7" a="1"/>
  <c r="P10" i="7" a="1"/>
  <c r="N17" i="7" a="1"/>
  <c r="R11" i="7" a="1"/>
  <c r="R20" i="7" a="1"/>
  <c r="R10" i="7" a="1"/>
  <c r="O11" i="7" a="1"/>
  <c r="L17" i="7" a="1"/>
  <c r="R7" i="7" a="1"/>
  <c r="L9" i="7" a="1"/>
  <c r="L14" i="7" a="1"/>
  <c r="L12" i="7" a="1"/>
  <c r="O9" i="7" a="1"/>
  <c r="O18" i="7" a="1"/>
  <c r="L13" i="7" a="1"/>
  <c r="Q9" i="7" a="1"/>
  <c r="M12" i="7" a="1"/>
  <c r="K15" i="7" a="1"/>
  <c r="M7" i="7" a="1"/>
  <c r="K11" i="7" a="1"/>
  <c r="N11" i="7" a="1"/>
  <c r="M9" i="7" a="1"/>
  <c r="K7" i="7" a="1"/>
  <c r="N20" i="7" a="1"/>
  <c r="N15" i="7" a="1"/>
  <c r="K13" i="7" a="1"/>
  <c r="M8" i="7" a="1"/>
  <c r="L11" i="7" a="1"/>
  <c r="P8" i="7" a="1"/>
  <c r="P14" i="7" a="1"/>
  <c r="N18" i="7" a="1"/>
  <c r="K14" i="7" a="1"/>
  <c r="R19" i="7" a="1"/>
  <c r="M20" i="7" a="1"/>
  <c r="L7" i="7" a="1"/>
  <c r="L8" i="7" a="1"/>
  <c r="Q14" i="7" a="1"/>
  <c r="K17" i="7" a="1"/>
  <c r="Q19" i="7" a="1"/>
  <c r="K8" i="7" a="1"/>
  <c r="P20" i="7" a="1"/>
  <c r="P19" i="7" a="1"/>
  <c r="E15" i="7" l="1"/>
  <c r="E16" i="7"/>
  <c r="E18" i="7"/>
  <c r="Q8" i="7"/>
  <c r="O10" i="7"/>
  <c r="O11" i="7"/>
  <c r="Q12" i="7"/>
  <c r="Q13" i="7"/>
  <c r="O14" i="7"/>
  <c r="Q14" i="7"/>
  <c r="O15" i="7"/>
  <c r="Q15" i="7"/>
  <c r="O16" i="7"/>
  <c r="Q16" i="7"/>
  <c r="O17" i="7"/>
  <c r="Q17" i="7"/>
  <c r="O18" i="7"/>
  <c r="Q18" i="7"/>
  <c r="O19" i="7"/>
  <c r="Q19" i="7"/>
  <c r="O20" i="7"/>
  <c r="Q20" i="7"/>
  <c r="Q7" i="7"/>
  <c r="O9" i="7"/>
  <c r="Q10" i="7"/>
  <c r="O12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R20" i="7"/>
  <c r="O7" i="7"/>
  <c r="O8" i="7"/>
  <c r="Q9" i="7"/>
  <c r="Q11" i="7"/>
  <c r="O13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P20" i="7"/>
  <c r="M7" i="7"/>
  <c r="K9" i="7"/>
  <c r="M10" i="7"/>
  <c r="K12" i="7"/>
  <c r="M13" i="7"/>
  <c r="K15" i="7"/>
  <c r="M16" i="7"/>
  <c r="K18" i="7"/>
  <c r="M19" i="7"/>
  <c r="K20" i="7"/>
  <c r="M20" i="7"/>
  <c r="M8" i="7"/>
  <c r="K10" i="7"/>
  <c r="M11" i="7"/>
  <c r="K13" i="7"/>
  <c r="M14" i="7"/>
  <c r="K16" i="7"/>
  <c r="M17" i="7"/>
  <c r="M18" i="7"/>
  <c r="L7" i="7"/>
  <c r="L8" i="7"/>
  <c r="L9" i="7"/>
  <c r="L10" i="7"/>
  <c r="L11" i="7"/>
  <c r="L12" i="7"/>
  <c r="L13" i="7"/>
  <c r="N13" i="7"/>
  <c r="L14" i="7"/>
  <c r="N14" i="7"/>
  <c r="L15" i="7"/>
  <c r="L16" i="7"/>
  <c r="N16" i="7"/>
  <c r="L17" i="7"/>
  <c r="N17" i="7"/>
  <c r="L18" i="7"/>
  <c r="N18" i="7"/>
  <c r="L19" i="7"/>
  <c r="N19" i="7"/>
  <c r="L20" i="7"/>
  <c r="N20" i="7"/>
  <c r="K8" i="7"/>
  <c r="M9" i="7"/>
  <c r="K11" i="7"/>
  <c r="M12" i="7"/>
  <c r="K14" i="7"/>
  <c r="M15" i="7"/>
  <c r="K17" i="7"/>
  <c r="K19" i="7"/>
  <c r="N7" i="7"/>
  <c r="N8" i="7"/>
  <c r="N9" i="7"/>
  <c r="N10" i="7"/>
  <c r="N11" i="7"/>
  <c r="N12" i="7"/>
  <c r="N15" i="7"/>
  <c r="K7" i="7"/>
  <c r="M5" i="7"/>
  <c r="K5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E6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Q6" i="3"/>
  <c r="Q7" i="3"/>
  <c r="Q8" i="3"/>
  <c r="M7" i="3" a="1"/>
  <c r="M8" i="3" a="1"/>
  <c r="O7" i="3" a="1"/>
  <c r="O6" i="3" a="1"/>
  <c r="M6" i="3" a="1"/>
  <c r="O8" i="3" a="1"/>
  <c r="N6" i="3" a="1"/>
  <c r="N7" i="3" a="1"/>
  <c r="N8" i="3" a="1"/>
  <c r="K22" i="7" l="1"/>
  <c r="L22" i="7"/>
  <c r="P22" i="7"/>
  <c r="Q22" i="7"/>
  <c r="R22" i="7"/>
  <c r="O22" i="7"/>
  <c r="N22" i="7"/>
  <c r="M22" i="7"/>
  <c r="M6" i="3"/>
  <c r="M7" i="3"/>
  <c r="M8" i="3"/>
  <c r="O6" i="3"/>
  <c r="O7" i="3"/>
  <c r="L7" i="3" s="1"/>
  <c r="O8" i="3"/>
  <c r="L8" i="3" s="1"/>
  <c r="N6" i="3"/>
  <c r="N7" i="3"/>
  <c r="N8" i="3"/>
  <c r="K24" i="7" l="1"/>
  <c r="L6" i="3"/>
  <c r="L4" i="1"/>
  <c r="L5" i="1"/>
  <c r="L3" i="1"/>
  <c r="P8" i="3" l="1"/>
  <c r="P7" i="3"/>
  <c r="P6" i="3"/>
  <c r="F10" i="3" a="1"/>
  <c r="F7" i="3" a="1"/>
  <c r="F8" i="3" a="1"/>
  <c r="F11" i="3" a="1"/>
  <c r="F6" i="3" a="1"/>
  <c r="F9" i="3" a="1"/>
  <c r="F10" i="3" l="1"/>
  <c r="F8" i="3"/>
  <c r="F11" i="3"/>
  <c r="F9" i="3"/>
  <c r="F7" i="3"/>
  <c r="F6" i="3"/>
  <c r="G11" i="3" l="1"/>
  <c r="G6" i="3"/>
  <c r="G8" i="3"/>
  <c r="G7" i="3"/>
  <c r="G10" i="3"/>
  <c r="G9" i="3"/>
  <c r="E9" i="7" a="1"/>
  <c r="E14" i="7" a="1"/>
  <c r="E13" i="7" a="1"/>
  <c r="E19" i="7" a="1"/>
  <c r="E12" i="7" a="1"/>
  <c r="E20" i="7" a="1"/>
  <c r="E10" i="7" a="1"/>
  <c r="E17" i="7" a="1"/>
  <c r="E11" i="7" a="1"/>
  <c r="E8" i="7" a="1"/>
  <c r="E7" i="7" a="1"/>
  <c r="E7" i="7" l="1"/>
  <c r="E13" i="7"/>
  <c r="E14" i="7"/>
  <c r="E19" i="7"/>
  <c r="E11" i="7"/>
  <c r="E10" i="7"/>
  <c r="E12" i="7"/>
  <c r="E20" i="7"/>
  <c r="E17" i="7"/>
  <c r="E8" i="7"/>
  <c r="E9" i="7"/>
  <c r="E22" i="7" l="1"/>
  <c r="J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<sst xmlns="http://schemas.openxmlformats.org/spreadsheetml/2006/main" count="233" uniqueCount="155">
  <si>
    <t>Sigla</t>
  </si>
  <si>
    <t>Nome</t>
  </si>
  <si>
    <t>Tipo de Gestão</t>
  </si>
  <si>
    <t>CNPJ</t>
  </si>
  <si>
    <t>Data do Registro</t>
  </si>
  <si>
    <t>Maxi Renda Fundo de Investimento Imobiliário - FII</t>
  </si>
  <si>
    <t>BTG Pactual</t>
  </si>
  <si>
    <t>Ativa</t>
  </si>
  <si>
    <t>Mandato</t>
  </si>
  <si>
    <t>Renda</t>
  </si>
  <si>
    <t>Segmento</t>
  </si>
  <si>
    <t>Híbrido</t>
  </si>
  <si>
    <t>97.521.225/0001-25</t>
  </si>
  <si>
    <t>Capitânia Securities II Fundo de Investimento Imobiliário - FII</t>
  </si>
  <si>
    <t>18.979.895/0001-13</t>
  </si>
  <si>
    <t>XP Malls Fundo de Investimento Imobiliário - FII</t>
  </si>
  <si>
    <t>Shoppings</t>
  </si>
  <si>
    <t>28.757.546/0001-00</t>
  </si>
  <si>
    <t>Sigla ADM</t>
  </si>
  <si>
    <t>Nome do Administrador</t>
  </si>
  <si>
    <t>BTG Pactual Serviços Financeiros S/A DTVM</t>
  </si>
  <si>
    <t>59.281.253/0001-23</t>
  </si>
  <si>
    <t>Endereço</t>
  </si>
  <si>
    <t>Praia de Botafogo, 501, 6 andar</t>
  </si>
  <si>
    <t>Cidade</t>
  </si>
  <si>
    <t>Rio de Janeiro</t>
  </si>
  <si>
    <t>Estado</t>
  </si>
  <si>
    <t>RJ</t>
  </si>
  <si>
    <t>CEP</t>
  </si>
  <si>
    <t>22250-040</t>
  </si>
  <si>
    <t>Telefone</t>
  </si>
  <si>
    <t>Site</t>
  </si>
  <si>
    <t>www.btgpactual.com</t>
  </si>
  <si>
    <t>55 21 3262-9600</t>
  </si>
  <si>
    <t>e-mail</t>
  </si>
  <si>
    <t>sh-contato-fundoimobiliario@btgpactual.com</t>
  </si>
  <si>
    <t>ID</t>
  </si>
  <si>
    <t>ID do ADM</t>
  </si>
  <si>
    <t>Títulos e Valores Mobiliários</t>
  </si>
  <si>
    <t>MXRF</t>
  </si>
  <si>
    <t>CPTS</t>
  </si>
  <si>
    <t>XPML</t>
  </si>
  <si>
    <t>Data</t>
  </si>
  <si>
    <t>Sigla Ativo</t>
  </si>
  <si>
    <t>Série</t>
  </si>
  <si>
    <t>Preço</t>
  </si>
  <si>
    <t>Quantidade</t>
  </si>
  <si>
    <t>Tipo</t>
  </si>
  <si>
    <t>Valor</t>
  </si>
  <si>
    <t>Outros</t>
  </si>
  <si>
    <t>Total</t>
  </si>
  <si>
    <t>Data Base</t>
  </si>
  <si>
    <t>Data do Pagamento</t>
  </si>
  <si>
    <t>Cotação Base</t>
  </si>
  <si>
    <t>Rendimento</t>
  </si>
  <si>
    <t>DY</t>
  </si>
  <si>
    <t>Recebimento</t>
  </si>
  <si>
    <t>Cotas</t>
  </si>
  <si>
    <t>Bradesco</t>
  </si>
  <si>
    <t>Porcentagem</t>
  </si>
  <si>
    <t>Segmento Ajustado</t>
  </si>
  <si>
    <t>Misto (CRI + FOF)</t>
  </si>
  <si>
    <t>Tijolo - Shopping</t>
  </si>
  <si>
    <t>Tijolo - Logística</t>
  </si>
  <si>
    <t>Papel - CRI</t>
  </si>
  <si>
    <t>Papel - FOF</t>
  </si>
  <si>
    <t>Tijolo - Escritórios</t>
  </si>
  <si>
    <t>Início</t>
  </si>
  <si>
    <t>Fim</t>
  </si>
  <si>
    <t>Datas de Avaliação</t>
  </si>
  <si>
    <t>Exposição da carteira</t>
  </si>
  <si>
    <t>Ativo</t>
  </si>
  <si>
    <t>Saídas</t>
  </si>
  <si>
    <t>Qt. Saídas</t>
  </si>
  <si>
    <t>Ações Restantes</t>
  </si>
  <si>
    <t>QT. Entradas</t>
  </si>
  <si>
    <t>P&amp;L dos ativos (Entradas e Saídas em Média)</t>
  </si>
  <si>
    <t>Dif. Média</t>
  </si>
  <si>
    <t>Movimentação de Ações (tbl_MovimentaçõesAções)</t>
  </si>
  <si>
    <t>Taxas das Transações (tbl_Taxas)</t>
  </si>
  <si>
    <t>Tabela dos recebimentos de dividendos (tbl_Dividendos)</t>
  </si>
  <si>
    <t>Preço Médio atual</t>
  </si>
  <si>
    <t>Cartão</t>
  </si>
  <si>
    <t>Banco</t>
  </si>
  <si>
    <t>Nubank</t>
  </si>
  <si>
    <t>Agência</t>
  </si>
  <si>
    <t>Conta Corrente</t>
  </si>
  <si>
    <t>Fechamento da Fatura</t>
  </si>
  <si>
    <t>Vencimento da Fatura</t>
  </si>
  <si>
    <t>Débito</t>
  </si>
  <si>
    <t>Crédito</t>
  </si>
  <si>
    <t>N</t>
  </si>
  <si>
    <t>S</t>
  </si>
  <si>
    <t>Função</t>
  </si>
  <si>
    <t>Categoria</t>
  </si>
  <si>
    <t>Descrição</t>
  </si>
  <si>
    <t>Código Cartão</t>
  </si>
  <si>
    <t>Restaurante</t>
  </si>
  <si>
    <t>Serviços</t>
  </si>
  <si>
    <t>Lazer</t>
  </si>
  <si>
    <t>Transporte</t>
  </si>
  <si>
    <t>Saúde</t>
  </si>
  <si>
    <t>Educação</t>
  </si>
  <si>
    <t>Alimentação</t>
  </si>
  <si>
    <t>Casa</t>
  </si>
  <si>
    <t>Data da Cobrança</t>
  </si>
  <si>
    <t>Nome Conta</t>
  </si>
  <si>
    <t>Codigo Conta</t>
  </si>
  <si>
    <t>XP</t>
  </si>
  <si>
    <t>Código Categoria</t>
  </si>
  <si>
    <t>Gasto</t>
  </si>
  <si>
    <t>Gasto Fixo</t>
  </si>
  <si>
    <t>Gasto Variável</t>
  </si>
  <si>
    <t>Investimento</t>
  </si>
  <si>
    <t>Filantropia</t>
  </si>
  <si>
    <t>Movimentação Bancária</t>
  </si>
  <si>
    <t>Tarifas e Impostos</t>
  </si>
  <si>
    <t>Rendimento Fixo</t>
  </si>
  <si>
    <t>Rendimento Variável</t>
  </si>
  <si>
    <t>Código Gasto</t>
  </si>
  <si>
    <t>Mês de Fechamento</t>
  </si>
  <si>
    <t>Lembrete</t>
  </si>
  <si>
    <t>Código do Cartão</t>
  </si>
  <si>
    <t>Data Início</t>
  </si>
  <si>
    <t>Data Fim</t>
  </si>
  <si>
    <t>Código do Banco</t>
  </si>
  <si>
    <t>Entradas</t>
  </si>
  <si>
    <t>Movimentação</t>
  </si>
  <si>
    <t>&gt;</t>
  </si>
  <si>
    <t>&lt;</t>
  </si>
  <si>
    <t>Total geral</t>
  </si>
  <si>
    <t>Código Critério</t>
  </si>
  <si>
    <t>Critério</t>
  </si>
  <si>
    <t>Tem imóveis bem localizados?</t>
  </si>
  <si>
    <t>Tem bom gestor?</t>
  </si>
  <si>
    <t>Os imóveis são novos e estão em boas condições?</t>
  </si>
  <si>
    <t>Tem baixa vacância histórica (em relação ao seu setor)?</t>
  </si>
  <si>
    <t>Tem bom histórico de distribuição de proventos?</t>
  </si>
  <si>
    <t>Possui bons inquilinos?</t>
  </si>
  <si>
    <t>Tem boa diversificação interna?</t>
  </si>
  <si>
    <t>Apresenta características de perpetuidade?</t>
  </si>
  <si>
    <t>É replicável em sua região e em seu setor?</t>
  </si>
  <si>
    <t>Os imóveis do fundo são versáteis (multi-uso)?</t>
  </si>
  <si>
    <t>O fundo tem liquidez?</t>
  </si>
  <si>
    <t>Fundo</t>
  </si>
  <si>
    <t>Peso</t>
  </si>
  <si>
    <t>Observação</t>
  </si>
  <si>
    <t>Dinheiro</t>
  </si>
  <si>
    <t>tbl_MovimentaçãoContaCorrente</t>
  </si>
  <si>
    <t>tbl_Bancos</t>
  </si>
  <si>
    <t>tbl_MovimentaçãoBancária_Categoria</t>
  </si>
  <si>
    <t>tbl_TipoGasto</t>
  </si>
  <si>
    <t>tbl_Cartões</t>
  </si>
  <si>
    <t>tbl_MovimentaçãoCartão</t>
  </si>
  <si>
    <t>tbl_FII_CritériosAvaliação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</si>
</sst>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&quot;R$&quot;#,##0.00"/>
    <numFmt numFmtId="165" formatCode="0.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9">
    <xf numFmtId="0" fontId="0" fillId="0" borderId="0" xfId="0"/>
    <xf numFmtId="14" fontId="0" fillId="0" borderId="0" xfId="0" applyNumberFormat="1"/>
    <xf numFmtId="0" fontId="2" fillId="0" borderId="0" xfId="2"/>
    <xf numFmtId="1" fontId="0" fillId="0" borderId="0" xfId="0" applyNumberFormat="1"/>
    <xf numFmtId="164" fontId="0" fillId="0" borderId="0" xfId="0" applyNumberFormat="1"/>
    <xf numFmtId="10" fontId="0" fillId="0" borderId="0" xfId="1" applyNumberFormat="1" applyFont="1"/>
    <xf numFmtId="1" fontId="0" fillId="0" borderId="0" xfId="1" applyNumberFormat="1" applyFont="1"/>
    <xf numFmtId="0" fontId="0" fillId="0" borderId="0" xfId="0" applyAlignment="1">
      <alignment horizontal="center"/>
    </xf>
    <xf numFmtId="165" fontId="0" fillId="0" borderId="0" xfId="1" applyNumberFormat="1" applyFont="1"/>
    <xf numFmtId="164" fontId="0" fillId="0" borderId="0" xfId="3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3" applyNumberFormat="1" applyFont="1" applyAlignment="1">
      <alignment horizontal="center"/>
    </xf>
    <xf numFmtId="0" fontId="0" fillId="0" borderId="0" xfId="0" applyNumberFormat="1"/>
    <xf numFmtId="0" fontId="0" fillId="0" borderId="0" xfId="0" quotePrefix="1"/>
    <xf numFmtId="0" fontId="8" fillId="0" borderId="0" xfId="0" applyFont="1"/>
    <xf numFmtId="0" fontId="8" fillId="0" borderId="0" xfId="0" applyFont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0" borderId="1" xfId="0" applyBorder="1"/>
    <xf numFmtId="0" fontId="8" fillId="0" borderId="1" xfId="0" applyFont="1" applyBorder="1"/>
    <xf numFmtId="0" fontId="0" fillId="0" borderId="0" xfId="0" applyBorder="1"/>
    <xf numFmtId="0" fontId="0" fillId="0" borderId="2" xfId="0" applyBorder="1"/>
    <xf numFmtId="164" fontId="0" fillId="0" borderId="1" xfId="0" applyNumberForma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9" fillId="4" borderId="0" xfId="0" applyFont="1" applyFill="1"/>
    <xf numFmtId="0" fontId="7" fillId="4" borderId="0" xfId="0" applyFont="1" applyFill="1"/>
    <xf numFmtId="0" fontId="7" fillId="4" borderId="0" xfId="0" applyFont="1" applyFill="1" applyAlignment="1">
      <alignment horizontal="center"/>
    </xf>
  </cellXfs>
  <cellStyles count="4">
    <cellStyle name="Hiperlink" xfId="2" builtinId="8"/>
    <cellStyle name="Normal" xfId="0" builtinId="0"/>
    <cellStyle name="Porcentagem" xfId="1" builtinId="5"/>
    <cellStyle name="Vírgula" xfId="3" builtinId="3"/>
  </cellStyles>
  <dxfs count="47">
    <dxf>
      <alignment horizontal="center" vertical="bottom" textRotation="0" wrapText="0" indent="0" justifyLastLine="0" shrinkToFit="0" readingOrder="0"/>
    </dxf>
    <dxf>
      <numFmt numFmtId="164" formatCode="&quot;R$&quot;#,##0.00"/>
      <alignment horizontal="center" vertical="bottom" textRotation="0" wrapText="0" indent="0" justifyLastLine="0" shrinkToFit="0" readingOrder="0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64" formatCode="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164" formatCode="&quot;R$&quot;#,##0.00"/>
    </dxf>
    <dxf>
      <numFmt numFmtId="164" formatCode="&quot;R$&quot;#,##0.00"/>
    </dxf>
    <dxf>
      <numFmt numFmtId="19" formatCode="dd/mm/yyyy"/>
    </dxf>
    <dxf>
      <numFmt numFmtId="19" formatCode="dd/mm/yyyy"/>
    </dxf>
    <dxf>
      <numFmt numFmtId="19" formatCode="dd/mm/yyyy"/>
    </dxf>
    <dxf>
      <numFmt numFmtId="164" formatCode="&quot;R$&quot;#,##0.00"/>
    </dxf>
    <dxf>
      <numFmt numFmtId="19" formatCode="dd/mm/yyyy"/>
    </dxf>
    <dxf>
      <numFmt numFmtId="164" formatCode="&quot;R$&quot;#,##0.00"/>
    </dxf>
    <dxf>
      <numFmt numFmtId="164" formatCode="&quot;R$&quot;#,##0.00"/>
    </dxf>
    <dxf>
      <numFmt numFmtId="164" formatCode="&quot;R$&quot;#,##0.00"/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&quot;R$&quot;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&quot;R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%"/>
    </dxf>
    <dxf>
      <numFmt numFmtId="165" formatCode="0.0%"/>
    </dxf>
    <dxf>
      <numFmt numFmtId="164" formatCode="&quot;R$&quot;#,##0.00"/>
    </dxf>
    <dxf>
      <numFmt numFmtId="19" formatCode="dd/mm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" formatCode="0"/>
    </dxf>
    <dxf>
      <numFmt numFmtId="19" formatCode="dd/mm/yyyy"/>
    </dxf>
    <dxf>
      <numFmt numFmtId="164" formatCode="&quot;R$&quot;#,##0.00"/>
    </dxf>
    <dxf>
      <numFmt numFmtId="19" formatCode="dd/mm/yyyy"/>
    </dxf>
    <dxf>
      <numFmt numFmtId="1" formatCode="0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R$&quot;#,##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91520D1-461E-424E-9B8C-CF5243C45915}" name="tbl_Painel_Datas" displayName="tbl_Painel_Datas" ref="A1:B2" totalsRowShown="0">
  <autoFilter ref="A1:B2" xr:uid="{3BA565A3-8B02-4A4F-9071-AD8F62C3C74F}"/>
  <tableColumns count="2">
    <tableColumn id="1" xr3:uid="{94872164-FAA2-4D92-9E8B-12500F6F729E}" name="Data Início"/>
    <tableColumn id="2" xr3:uid="{7C8348BE-4633-4FD1-9FBC-8820C927BEF7}" name="Data Fi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863C57-754D-4AE3-89DB-4BB79E9928D1}" name="tbl_Cartões" displayName="tbl_Cartões" ref="B2:K3" totalsRowShown="0">
  <autoFilter ref="B2:K3" xr:uid="{F67F6BBB-A508-4708-BFC0-74F78210BB67}"/>
  <tableColumns count="10">
    <tableColumn id="1" xr3:uid="{364D49B2-72A9-4219-88D5-B6CD05A7B9BE}" name="Data" dataDxfId="40"/>
    <tableColumn id="10" xr3:uid="{672C7714-27BD-4021-B59E-79B460AD6D04}" name="Código Cartão" dataDxfId="39"/>
    <tableColumn id="2" xr3:uid="{3D8DACD0-8748-4436-A234-BA819C51F210}" name="Cartão"/>
    <tableColumn id="3" xr3:uid="{5801A53E-12EF-4FBB-95F8-C0C2C35608AF}" name="Banco"/>
    <tableColumn id="4" xr3:uid="{48034518-D479-4053-9E54-C8F6917C037B}" name="Agência"/>
    <tableColumn id="5" xr3:uid="{803BBB8A-9D39-4126-8A82-3F41A591EBA1}" name="Conta Corrente"/>
    <tableColumn id="6" xr3:uid="{91ADC865-D9DD-44C4-82BC-190F9C6F06C1}" name="Fechamento da Fatura"/>
    <tableColumn id="7" xr3:uid="{CBF3CEA6-25A4-446E-B17E-691B34F5EB66}" name="Vencimento da Fatura"/>
    <tableColumn id="8" xr3:uid="{21625EEB-AB05-49FA-A0B0-0E0D4A0EEBAD}" name="Débito"/>
    <tableColumn id="9" xr3:uid="{A428ADDA-9384-4F64-881E-513F3C110CC8}" name="Crédito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57A776-8E0A-43C2-9B96-229F61929394}" name="tbl_MovimentaçãoCartão" displayName="tbl_MovimentaçãoCartão" ref="O2:Z3" totalsRowShown="0">
  <autoFilter ref="O2:Z3" xr:uid="{DBF66F71-A594-449B-9E17-E73579E02FA0}"/>
  <sortState xmlns:xlrd2="http://schemas.microsoft.com/office/spreadsheetml/2017/richdata2" ref="O3:Z3">
    <sortCondition ref="O2:O3"/>
  </sortState>
  <tableColumns count="12">
    <tableColumn id="1" xr3:uid="{056B15DA-CC3E-45E4-8095-2127436EACC1}" name="Data" dataDxfId="38"/>
    <tableColumn id="2" xr3:uid="{E1F9627E-67D6-4B7D-AD46-AA75254AD27D}" name="Valor" dataDxfId="37"/>
    <tableColumn id="3" xr3:uid="{0ED7EF30-1CC6-49EA-8CF1-5C967A0B4129}" name="Função"/>
    <tableColumn id="9" xr3:uid="{165B25F0-0B24-45E9-91E8-55B8DE116C16}" name="Data da Cobrança" dataDxfId="36">
      <calculatedColumnFormula>IF(tbl_MovimentaçãoCartão[[#This Row],[Função]] = "Crédito",tbl_MovimentaçãoCartão[[#This Row],[Data]], 0)</calculatedColumnFormula>
    </tableColumn>
    <tableColumn id="11" xr3:uid="{BCAF2487-3A4F-4C83-9A02-DA6E5238C697}" name="Código Categoria" dataDxfId="35"/>
    <tableColumn id="4" xr3:uid="{2F9A61D2-029B-4033-ADEC-A963DD577051}" name="Categoria">
      <calculatedColumnFormula>INDEX(tbl_MovimentaçãoBancária_Categoria[#Data],MATCH(tbl_MovimentaçãoCartão[[#This Row],[Código Categoria]], tbl_MovimentaçãoBancária_Categoria[Código Categoria],0),MATCH(tbl_MovimentaçãoCartão[[#Headers],[Categoria]], tbl_MovimentaçãoBancária_Categoria[#Headers],0))</calculatedColumnFormula>
    </tableColumn>
    <tableColumn id="6" xr3:uid="{37154B19-DFA6-49C0-84C8-AF9FE1F580FE}" name="Descrição"/>
    <tableColumn id="12" xr3:uid="{FDBC870E-1BF6-4A49-8E42-5EBE27D3D669}" name="Lembrete"/>
    <tableColumn id="7" xr3:uid="{3D3C2C1D-1C59-44AE-9256-5502B493CE5B}" name="Código Cartão"/>
    <tableColumn id="8" xr3:uid="{B75A1268-83A1-4628-80F6-0052AB02699F}" name="Cartão" dataDxfId="34">
      <calculatedColumnFormula>INDEX(tbl_Cartões[], MATCH(tbl_MovimentaçãoCartão[[#This Row],[Código Cartão]], tbl_Cartões[Código Cartão],0), MATCH(tbl_MovimentaçãoCartão[[#Headers],[Cartão]], tbl_Cartões[#Headers],0))</calculatedColumnFormula>
    </tableColumn>
    <tableColumn id="5" xr3:uid="{BF45EEA0-B32D-4B0E-B4FB-DBB953946B76}" name="Fechamento da Fatura" dataDxfId="33">
      <calculatedColumnFormula>INDEX(tbl_Cartões[#Data],MATCH(tbl_MovimentaçãoCartão[[#This Row],[Código Cartão]],tbl_Cartões[Código Cartão],0),MATCH(tbl_MovimentaçãoCartão[[#Headers],[Fechamento da Fatura]],tbl_Cartões[#Headers],0))</calculatedColumnFormula>
    </tableColumn>
    <tableColumn id="10" xr3:uid="{92E822F1-988E-4A72-A6A2-B11E8BF2A38D}" name="Mês de Fechamento" dataDxfId="32">
      <calculatedColumnFormula>IF(DAY(tbl_MovimentaçãoCartão[[#This Row],[Data da Cobrança]]) &gt;=tbl_MovimentaçãoCartão[[#This Row],[Fechamento da Fatura]], "01/" &amp; TEXT(EDATE(tbl_MovimentaçãoCartão[[#This Row],[Data da Cobrança]], 1), "mm/aaaa"), "01/" &amp; TEXT(tbl_MovimentaçãoCartão[[#This Row],[Data da Cobrança]], "mm/aaaa"))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3D7DE0B-2F13-4BC6-92AB-9374B1A57BF5}" name="tbl_MovimentaçãoContaCorrente" displayName="tbl_MovimentaçãoContaCorrente" ref="C3:L4">
  <autoFilter ref="C3:L4" xr:uid="{A57CFE9D-1DCD-4720-AC82-012319B82465}"/>
  <tableColumns count="10">
    <tableColumn id="1" xr3:uid="{C2AADAD2-CE4A-40AF-A7E2-79FD3438D04A}" name="Data" totalsRowLabel="Total" dataDxfId="46"/>
    <tableColumn id="2" xr3:uid="{62758788-27C7-44C6-928F-FD2FC185FE9E}" name="Valor" dataDxfId="45"/>
    <tableColumn id="9" xr3:uid="{4C13A0E2-BFCE-40EA-AD7C-83C3A641DAC7}" name="Código Categoria" dataDxfId="44"/>
    <tableColumn id="10" xr3:uid="{DAE099AD-B5B9-4F15-B454-7EB91A74F504}" name="Categoria" dataDxfId="43">
      <calculatedColumnFormula>INDEX(tbl_MovimentaçãoBancária_Categoria[#Data],MATCH(tbl_MovimentaçãoContaCorrente[[#This Row],[Código Categoria]], tbl_MovimentaçãoBancária_Categoria[Código Categoria],0),MATCH(tbl_MovimentaçãoContaCorrente[[#Headers],[Categoria]],tbl_MovimentaçãoBancária_Categoria[#Headers],0))</calculatedColumnFormula>
    </tableColumn>
    <tableColumn id="3" xr3:uid="{ED858160-7BA8-4B03-BB6A-21EAE6BEAD53}" name="Descrição"/>
    <tableColumn id="11" xr3:uid="{F80D62EF-5E96-418B-B3C4-1567C6BA9655}" name="Lembrete"/>
    <tableColumn id="4" xr3:uid="{659351BF-C499-45A9-A6C5-636D842C3815}" name="Codigo Conta"/>
    <tableColumn id="5" xr3:uid="{7002F897-DC3C-4485-977B-E484B3D5415C}" name="Nome Conta" totalsRowFunction="count" dataDxfId="42">
      <calculatedColumnFormula>INDEX(tbl_Bancos[#Data],MATCH(tbl_MovimentaçãoContaCorrente[[#This Row],[Codigo Conta]],tbl_Bancos[Codigo Conta],0),MATCH(tbl_MovimentaçãoContaCorrente[[#Headers],[Nome Conta]],tbl_Bancos[#Headers],0))</calculatedColumnFormula>
    </tableColumn>
    <tableColumn id="6" xr3:uid="{BC38401D-BD1D-47AA-9092-B766CC8162E9}" name="Código Gasto"/>
    <tableColumn id="8" xr3:uid="{E2A1DA6C-19B0-4B20-911D-4D140DA0B78E}" name="Gasto" dataDxfId="41">
      <calculatedColumnFormula>INDEX(tbl_TipoGasto[#Data],MATCH(tbl_MovimentaçãoContaCorrente[[#This Row],[Código Gasto]],tbl_TipoGasto[Código Gasto],0),MATCH(tbl_MovimentaçãoContaCorrente[[#Headers],[Gasto]],tbl_TipoGasto[#Headers],0))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7F8F05-4950-4F64-877D-B0DB7567D187}" name="tbl_Bancos" displayName="tbl_Bancos" ref="O3:Q7" totalsRowShown="0">
  <autoFilter ref="O3:Q7" xr:uid="{3745097F-4AFE-4D8D-84EF-B89ED3CA8545}"/>
  <tableColumns count="3">
    <tableColumn id="1" xr3:uid="{3E706A17-821D-4BE2-8C7A-30E167DB33FD}" name="Codigo Conta"/>
    <tableColumn id="2" xr3:uid="{7152BB16-1F4F-4AD7-A17E-EE1D554509BA}" name="Nome Conta"/>
    <tableColumn id="3" xr3:uid="{6428C90A-09C9-44DE-B350-A53081C1472F}" name="Banco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31773A-4B3A-4B8C-BCB5-E9E529761313}" name="tbl_MovimentaçãoBancária_Categoria" displayName="tbl_MovimentaçãoBancária_Categoria" ref="T3:U17" totalsRowShown="0">
  <autoFilter ref="T3:U17" xr:uid="{B9278FA3-B090-4F04-9925-EEB05C306C8A}"/>
  <tableColumns count="2">
    <tableColumn id="1" xr3:uid="{AE8A0777-8B18-4949-A43E-BA311B408539}" name="Código Categoria"/>
    <tableColumn id="2" xr3:uid="{285E848E-1341-4B76-96A0-A37528C25321}" name="Categoria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8B6FC6D-EB47-4969-B73E-781BD5946ECF}" name="tbl_TipoGasto" displayName="tbl_TipoGasto" ref="W3:X7" totalsRowShown="0">
  <autoFilter ref="W3:X7" xr:uid="{EC0D6DF9-EA1C-4A05-AEDF-FA21639A68BF}"/>
  <tableColumns count="2">
    <tableColumn id="1" xr3:uid="{565FA858-0B2B-45FA-93A8-415FD162E60D}" name="Código Gasto"/>
    <tableColumn id="2" xr3:uid="{1C045303-3584-42A6-83A3-168452142F0F}" name="Gasto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5F7798-27ED-4FF8-9E90-EF0F3F69E102}" name="tbl_grf_DadosSegmentos" displayName="tbl_grf_DadosSegmentos" ref="E5:G11">
  <autoFilter ref="E5:G11" xr:uid="{F89DED20-CE5D-4A16-8943-4C7ABD94EF98}"/>
  <tableColumns count="3">
    <tableColumn id="1" xr3:uid="{DE6970FC-C064-483E-B379-F9D3EE7313A7}" name="Segmento Ajustado" totalsRowLabel="Total"/>
    <tableColumn id="2" xr3:uid="{D335F109-39BB-44EB-BF53-784270702CDC}" name="Total" dataDxfId="31">
      <calculatedColumnFormula array="1">SUM(SUMIFS(tbl_MovimentaçõesAções[Total],tbl_MovimentaçõesAções[Segmento Ajustado],tbl_grf_DadosSegmentos[[#This Row],[Segmento Ajustado]], tbl_MovimentaçõesAções[Data],FN_RetornarListaDatas(tbl_DatasPainel[Início],tbl_DatasPainel[Fim])))</calculatedColumnFormula>
    </tableColumn>
    <tableColumn id="3" xr3:uid="{F1EF9C98-4222-44D5-A8DA-28C1B7E5C3D3}" name="Porcentagem" totalsRowFunction="sum" dataDxfId="30" totalsRowDxfId="29" dataCellStyle="Porcentagem">
      <calculatedColumnFormula>tbl_grf_DadosSegmentos[[#This Row],[Total]] / SUM(tbl_grf_DadosSegmentos[Total])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9001A5D-73A1-4FC7-9D19-A02FE56946A1}" name="tbl_ResumoMovimentações" displayName="tbl_ResumoMovimentações" ref="K5:Q8" totalsRowShown="0" dataDxfId="28">
  <autoFilter ref="K5:Q8" xr:uid="{69EF7657-1B61-4FF5-9B08-F2590F0D32CD}"/>
  <tableColumns count="7">
    <tableColumn id="1" xr3:uid="{5C628EA9-2969-4A49-A1B6-07FFE3D3AF59}" name="Ativo" dataDxfId="0"/>
    <tableColumn id="2" xr3:uid="{96D95169-DD17-4233-AD65-BF9B2959DF4E}" name="Preço Médio atual" dataDxfId="1" dataCellStyle="Vírgula">
      <calculatedColumnFormula>IF(tbl_ResumoMovimentações[[#This Row],[Qt. Saídas]] &lt;&gt; 0, IFERROR(SUMIFS(tbl_MovimentaçõesAções[Total], tbl_MovimentaçõesAções[Sigla Ativo], tbl_ResumoMovimentações[[#This Row],[Ativo]], tbl_MovimentaçõesAções[Quantidade], "&gt;"&amp;0) / SUMIFS(tbl_MovimentaçõesAções[Quantidade], tbl_MovimentaçõesAções[Sigla Ativo], tbl_ResumoMovimentações[[#This Row],[Ativo]], tbl_MovimentaçõesAções[Quantidade], "&gt;"&amp;0), 0), 0)</calculatedColumnFormula>
    </tableColumn>
    <tableColumn id="8" xr3:uid="{766E38C8-7FBC-4D7E-874A-C84A6959F349}" name="QT. Entradas" dataDxfId="27" dataCellStyle="Vírgula">
      <calculatedColumnFormula array="1">SUM(SUMIFS(tbl_MovimentaçõesAções[Quantidade],tbl_MovimentaçõesAções[Sigla Ativo],tbl_ResumoMovimentações[[#This Row],[Ativo]], tbl_MovimentaçõesAções[Quantidade],"&gt;"&amp;0, tbl_MovimentaçõesAções[Data],FN_RetornarListaDatas(tbl_DatasPainel[Início],tbl_DatasPainel[Fim])))</calculatedColumnFormula>
    </tableColumn>
    <tableColumn id="3" xr3:uid="{F052A5A6-4C76-4A3A-8A7E-4A1C6FD26C47}" name="Saídas" dataDxfId="26">
      <calculatedColumnFormula array="1">IFERROR(SUM(SUMIFS(tbl_MovimentaçõesAções[Total], tbl_MovimentaçõesAções[Sigla Ativo], tbl_ResumoMovimentações[[#This Row],[Ativo]], tbl_MovimentaçõesAções[Quantidade], "&lt;"&amp;0, tbl_MovimentaçõesAções[Data],FN_RetornarListaDatas(tbl_DatasPainel[Início],tbl_DatasPainel[Fim]))) / SUM(SUMIFS(tbl_MovimentaçõesAções[Quantidade], tbl_MovimentaçõesAções[Sigla Ativo], tbl_ResumoMovimentações[[#This Row],[Ativo]], tbl_MovimentaçõesAções[Quantidade], "&lt;"&amp;0, tbl_MovimentaçõesAções[Data],FN_RetornarListaDatas(tbl_DatasPainel[Início],tbl_DatasPainel[Fim]))), 0)</calculatedColumnFormula>
    </tableColumn>
    <tableColumn id="5" xr3:uid="{AF920529-AAF0-443B-9A55-1647DC31A3B6}" name="Qt. Saídas" dataDxfId="25">
      <calculatedColumnFormula array="1">SUM(SUMIFS(tbl_MovimentaçõesAções[Quantidade],tbl_MovimentaçõesAções[Sigla Ativo],tbl_ResumoMovimentações[[#This Row],[Ativo]], tbl_MovimentaçõesAções[Quantidade],"&lt;"&amp;0, tbl_MovimentaçõesAções[Data],FN_RetornarListaDatas(tbl_DatasPainel[Início],tbl_DatasPainel[Fim])))</calculatedColumnFormula>
    </tableColumn>
    <tableColumn id="6" xr3:uid="{0ADD24A8-2B69-42D0-959C-9B92C444B839}" name="Dif. Média" dataDxfId="24">
      <calculatedColumnFormula>((ABS(tbl_ResumoMovimentações[[#This Row],[Qt. Saídas]])*tbl_ResumoMovimentações[[#This Row],[Preço Médio atual]]) + (tbl_ResumoMovimentações[[#This Row],[Qt. Saídas]] *tbl_ResumoMovimentações[[#This Row],[Saídas]])) * -1</calculatedColumnFormula>
    </tableColumn>
    <tableColumn id="7" xr3:uid="{B8BE3A50-1907-4806-8467-91B0A1F60F8C}" name="Ações Restantes" dataDxfId="23">
      <calculatedColumnFormula>SUMIFS(tbl_MovimentaçõesAções[Quantidade],tbl_MovimentaçõesAções[Sigla Ativo],tbl_ResumoMovimentações[[#This Row],[Ativo]])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FE0FC2D-BD8F-46F0-975B-7F7799CD89BC}" name="tbl_DatasPainel" displayName="tbl_DatasPainel" ref="A2:B3" totalsRowShown="0" headerRowDxfId="22">
  <autoFilter ref="A2:B3" xr:uid="{6F72E98D-DEFE-4FFC-BC2C-539D24332A67}"/>
  <tableColumns count="2">
    <tableColumn id="1" xr3:uid="{9AD92E6C-BADE-4A1A-AE2F-89613AD2A60A}" name="Início" dataDxfId="21"/>
    <tableColumn id="2" xr3:uid="{55EA956B-E603-4026-BA10-F75620C7D2C7}" name="Fim" dataDxfId="20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6BF10B-1242-4DFA-9BF9-A732EC2971C7}" name="tbl_MovimentaçõesAções" displayName="tbl_MovimentaçõesAções" ref="C3:I4" totalsRowShown="0">
  <autoFilter ref="C3:I4" xr:uid="{EA73768C-DEDF-4F05-8970-0825F5D93C8C}"/>
  <sortState xmlns:xlrd2="http://schemas.microsoft.com/office/spreadsheetml/2017/richdata2" ref="C4:I4">
    <sortCondition ref="C3:C4"/>
  </sortState>
  <tableColumns count="7">
    <tableColumn id="1" xr3:uid="{485AACD3-7DA2-4523-BF1A-4911B41C2B52}" name="Data" dataDxfId="19"/>
    <tableColumn id="2" xr3:uid="{69AE1172-28F1-4B03-9C97-A7AE278B2C9B}" name="Sigla Ativo"/>
    <tableColumn id="3" xr3:uid="{7D3FC42E-199F-4E58-8E36-B605A8107656}" name="Série"/>
    <tableColumn id="4" xr3:uid="{71233844-2D4A-4B54-9016-7B18982EE533}" name="Preço" dataDxfId="18"/>
    <tableColumn id="5" xr3:uid="{E8BC12B1-2826-4B32-BF8E-A2138317D005}" name="Quantidade"/>
    <tableColumn id="6" xr3:uid="{B12AF1C3-C7DE-4DB7-98B1-D6D01EA65CC7}" name="Total" dataDxfId="17">
      <calculatedColumnFormula>tbl_MovimentaçõesAções[[#This Row],[Preço]]*tbl_MovimentaçõesAções[[#This Row],[Quantidade]]</calculatedColumnFormula>
    </tableColumn>
    <tableColumn id="7" xr3:uid="{D48A0955-D6C0-4890-9A0F-B0E09368A6B0}" name="Segmento Ajustado" dataDxfId="16">
      <calculatedColumnFormula>INDEX(tbl_Fundos[#Data],MATCH(tbl_MovimentaçõesAções[[#This Row],[Sigla Ativo]],tbl_Fundos[Sigla],0),MATCH(tbl_MovimentaçõesAções[[#Headers],[Segmento Ajustado]], tbl_Fundos[#Headers], 0))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E51565-6CA3-4E6F-B3B2-940AA97822B2}" name="tbl_Taxas" displayName="tbl_Taxas" ref="L3:N4" insertRow="1" totalsRowShown="0">
  <autoFilter ref="L3:N4" xr:uid="{1C13053F-2FBA-4FB1-86EF-75903A066BDE}"/>
  <tableColumns count="3">
    <tableColumn id="1" xr3:uid="{5440E6BA-393C-49C3-9077-E0F960F54033}" name="Data" dataDxfId="15"/>
    <tableColumn id="2" xr3:uid="{3EDC9AEF-E943-4B5D-85D6-6A1004982E03}" name="Tipo"/>
    <tableColumn id="3" xr3:uid="{D05C7CDE-97FB-4372-85DE-5054A2014DFD}" name="Valor" dataDxfId="14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D0734B-2749-4A0D-8AA4-C8C870A8F25B}" name="tbl_Dividendos" displayName="tbl_Dividendos" ref="Q3:Z4" totalsRowShown="0">
  <autoFilter ref="Q3:Z4" xr:uid="{5F13781B-EE75-401A-9462-6845FFCE063E}"/>
  <tableColumns count="10">
    <tableColumn id="1" xr3:uid="{1DF62ABF-B22B-4A98-B734-CA96BDD3359C}" name="Data" dataDxfId="13"/>
    <tableColumn id="2" xr3:uid="{75E69DE2-A5F5-40BC-B0F0-B822DAB18F16}" name="Sigla Ativo"/>
    <tableColumn id="3" xr3:uid="{14456218-E7B4-456D-8665-DBA93AA6B44A}" name="Série"/>
    <tableColumn id="4" xr3:uid="{A32AC303-7649-432C-820C-60479A054868}" name="Data Base" dataDxfId="12"/>
    <tableColumn id="5" xr3:uid="{5D1AF905-23F3-46B6-9FC4-E1F59421994C}" name="Data do Pagamento" dataDxfId="11"/>
    <tableColumn id="6" xr3:uid="{10A2AFA2-130E-4FE8-B041-87DC517E30B7}" name="Cotação Base" dataDxfId="10"/>
    <tableColumn id="7" xr3:uid="{33AF9107-C485-4369-B98E-1700D8874D00}" name="Rendimento" dataDxfId="9"/>
    <tableColumn id="8" xr3:uid="{CACB15A2-A38C-4A03-BB15-B4B71F39142C}" name="DY" dataDxfId="8" dataCellStyle="Porcentagem">
      <calculatedColumnFormula>tbl_Dividendos[[#This Row],[Rendimento]]/tbl_Dividendos[[#This Row],[Cotação Base]]</calculatedColumnFormula>
    </tableColumn>
    <tableColumn id="10" xr3:uid="{ABAA1D3A-6240-4D48-9A0F-D0DE02B30613}" name="Cotas" dataDxfId="7" dataCellStyle="Porcentagem">
      <calculatedColumnFormula>SUMIFS(tbl_MovimentaçõesAções[Quantidade],tbl_MovimentaçõesAções[Sigla Ativo],tbl_Dividendos[[#This Row],[Sigla Ativo]],tbl_MovimentaçõesAções[Série],tbl_Dividendos[[#This Row],[Série]], tbl_MovimentaçõesAções[Data],"&lt;="&amp;tbl_Dividendos[[#This Row],[Data Base]])</calculatedColumnFormula>
    </tableColumn>
    <tableColumn id="9" xr3:uid="{70CB0069-7E2B-4906-B590-871F93083573}" name="Recebimento" dataDxfId="6">
      <calculatedColumnFormula>tbl_Dividendos[[#This Row],[Cotas]] * tbl_Dividendos[[#This Row],[Rendimento]]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CAE7B3D-A717-48DE-9BC4-3326D490797B}" name="tbl_FII_CritériosAvaliação" displayName="tbl_FII_CritériosAvaliação" ref="C4:E15" totalsRowShown="0">
  <autoFilter ref="C4:E15" xr:uid="{B8DA8F4E-6D05-44EC-B500-1A72FC9CEB9B}"/>
  <tableColumns count="3">
    <tableColumn id="1" xr3:uid="{B24A00CC-6A78-4CB5-93AF-C15291E36C80}" name="Código Critério"/>
    <tableColumn id="2" xr3:uid="{5521BAAE-646F-4C66-8AF4-3A5503BB2355}" name="Critério"/>
    <tableColumn id="3" xr3:uid="{BBE278D5-BE4B-4144-B684-9B272422A32B}" name="Descrição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F9C84B7-B4CB-4FBE-B261-AF38386F216F}" name="tbl_Fii_Avaliação" displayName="tbl_Fii_Avaliação" ref="L4:S5" insertRow="1" totalsRowShown="0">
  <autoFilter ref="L4:S5" xr:uid="{600E327B-C792-4C7D-9B7D-5A18536599DB}"/>
  <tableColumns count="8">
    <tableColumn id="1" xr3:uid="{BD015239-880C-44C3-9C89-0DEFE75B9F55}" name="Data"/>
    <tableColumn id="2" xr3:uid="{A9E2F71E-AE7E-49CE-9B3D-82B6F3DE01C9}" name="Fundo"/>
    <tableColumn id="3" xr3:uid="{C3D68529-33CB-4614-A47D-F69BDB3A54DB}" name="Código Critério"/>
    <tableColumn id="4" xr3:uid="{31334BFD-86F1-40C7-882A-9ADE30807D88}" name="Critério">
      <calculatedColumnFormula>INDEX(tbl_FII_CritériosAvaliação[#Data],MATCH(tbl_Fii_Avaliação[[#This Row],[Código Critério]], tbl_FII_CritériosAvaliação[Código Critério],0),MATCH(tbl_Fii_Avaliação[[#Headers],[Critério]],tbl_FII_CritériosAvaliação[#Headers],0))</calculatedColumnFormula>
    </tableColumn>
    <tableColumn id="5" xr3:uid="{594A60C5-77E1-43A8-B14C-968CF0C4A50F}" name="Valor"/>
    <tableColumn id="6" xr3:uid="{7108D3F8-F91E-475D-9C9D-DBC0DF7DC268}" name="Peso">
      <calculatedColumnFormula>SUMIFS(tbl_Fii_PesoCritério[Peso],tbl_Fii_PesoCritério[Código Critério],tbl_Fii_Avaliação[[#This Row],[Código Critério]])</calculatedColumnFormula>
    </tableColumn>
    <tableColumn id="7" xr3:uid="{62C720BA-5F92-40BE-AAE8-0B5FEB2B31CB}" name="Total">
      <calculatedColumnFormula>tbl_Fii_Avaliação[[#This Row],[Peso]]*tbl_Fii_Avaliação[[#This Row],[Valor]]</calculatedColumnFormula>
    </tableColumn>
    <tableColumn id="8" xr3:uid="{967A9307-C87B-4F14-B025-23863216C287}" name="Observação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1BF349F-70B7-416B-8DDC-588576BD80A1}" name="tbl_Fii_PesoCritério" displayName="tbl_Fii_PesoCritério" ref="H4:J15" totalsRowShown="0">
  <autoFilter ref="H4:J15" xr:uid="{67F4E8B4-3DCB-41F1-B83E-C0165873A6C2}"/>
  <tableColumns count="3">
    <tableColumn id="2" xr3:uid="{87D329AA-F045-402A-A558-24ACFE1501D2}" name="Código Critério"/>
    <tableColumn id="3" xr3:uid="{43ADCAA8-1263-4B66-8C48-F417E65196B7}" name="Critério">
      <calculatedColumnFormula>INDEX(tbl_FII_CritériosAvaliação[#Data],MATCH(tbl_Fii_PesoCritério[[#This Row],[Código Critério]],tbl_FII_CritériosAvaliação[Código Critério],0),MATCH(tbl_Fii_PesoCritério[[#Headers],[Critério]],tbl_FII_CritériosAvaliação[#Headers],0))</calculatedColumnFormula>
    </tableColumn>
    <tableColumn id="4" xr3:uid="{C12DEA5B-EB7A-40EF-B1E0-A56D9924FF25}" name="Peso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9D0FC4-F696-4869-9965-F332F446A243}" name="tbl_Fundos" displayName="tbl_Fundos" ref="C2:L5" totalsRowShown="0">
  <autoFilter ref="C2:L5" xr:uid="{03C7AC86-387D-4D80-8F9E-CBAB8575828D}"/>
  <tableColumns count="10">
    <tableColumn id="1" xr3:uid="{F3CB355F-98D7-405B-949A-0DE01A467719}" name="Sigla"/>
    <tableColumn id="2" xr3:uid="{74B3C670-8FC6-4C7F-A3A1-3E728AC3C638}" name="Nome"/>
    <tableColumn id="5" xr3:uid="{D6901FA9-E77E-4430-B8CC-B337CC64C0E9}" name="Mandato"/>
    <tableColumn id="6" xr3:uid="{2E951F6B-DEEC-48BC-AA9A-310FA2648CE7}" name="Segmento"/>
    <tableColumn id="4" xr3:uid="{F6FF96F7-6A60-47A4-A73A-CF45B114A5E8}" name="Tipo de Gestão"/>
    <tableColumn id="7" xr3:uid="{BA7CF254-F243-4807-A1AD-70E7B3A08135}" name="CNPJ"/>
    <tableColumn id="8" xr3:uid="{CCE53F3F-191F-4DC0-8781-2AAAC9925109}" name="Data do Registro" dataDxfId="5"/>
    <tableColumn id="10" xr3:uid="{EBCF5F9F-5445-4CDB-A4F9-C5E0DE99CDFD}" name="Segmento Ajustado" dataDxfId="4"/>
    <tableColumn id="9" xr3:uid="{DB86053F-3E5D-471B-AFE5-AF644307951D}" name="ID do ADM" dataDxfId="3"/>
    <tableColumn id="3" xr3:uid="{036E48A5-08E1-4DD7-B100-F0AF9AFBDC79}" name="Sigla ADM" dataDxfId="2">
      <calculatedColumnFormula>VLOOKUP(tbl_Fundos[[#This Row],[ID do ADM]], tbl_DadosAdministradores[#Data],MATCH(tbl_Fundos[[#Headers],[Sigla ADM]], tbl_DadosAdministradores[#Headers],0))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8680D7-5BE4-4338-8C5F-D1CCDD5EFD53}" name="tbl_DadosAdministradores" displayName="tbl_DadosAdministradores" ref="O2:Y3" totalsRowShown="0">
  <autoFilter ref="O2:Y3" xr:uid="{159C5A3A-C393-4000-9AF4-A8E937E6CBD0}"/>
  <tableColumns count="11">
    <tableColumn id="11" xr3:uid="{68FE1971-0621-448E-BA9A-E7B094107EEA}" name="ID"/>
    <tableColumn id="1" xr3:uid="{FD2FF6A8-B013-4153-9BC7-B4708DF6E4EE}" name="Sigla ADM"/>
    <tableColumn id="2" xr3:uid="{E49CBF2E-0190-4F24-B616-02F905A93FA4}" name="Nome do Administrador"/>
    <tableColumn id="3" xr3:uid="{E263C5A3-6ED9-4801-B336-B67B2C44F672}" name="CNPJ"/>
    <tableColumn id="4" xr3:uid="{93A6E208-A851-4DD2-8F34-182F5C3CD31A}" name="Endereço"/>
    <tableColumn id="5" xr3:uid="{DBEDC7E9-2BE1-4080-9A27-CE742B51CF5D}" name="CEP"/>
    <tableColumn id="6" xr3:uid="{9344FF7C-7086-431A-9DC7-EF90144FA174}" name="Cidade"/>
    <tableColumn id="7" xr3:uid="{8BF5D92F-387A-4286-8C90-46B2E27FA85E}" name="Estado"/>
    <tableColumn id="8" xr3:uid="{261F5677-DEFF-47D6-97F2-5E756370ACE8}" name="Site" dataCellStyle="Hiperlink"/>
    <tableColumn id="9" xr3:uid="{4564AEE8-FD4E-4120-8B47-F03732120221}" name="Telefone"/>
    <tableColumn id="10" xr3:uid="{E38C7DE7-E824-4056-A98E-9ACD287FF52D}" name="e-mail" dataCellStyle="Hiperlink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mailto:sh-contato-fundoimobiliario@btgpactual.com" TargetMode="External"/><Relationship Id="rId1" Type="http://schemas.openxmlformats.org/officeDocument/2006/relationships/hyperlink" Target="http://www.btgpactual.com/" TargetMode="Externa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2D3E1-A9F0-4F85-95D4-5935429727F5}">
  <sheetPr codeName="Planilha4"/>
  <dimension ref="A1:R24"/>
  <sheetViews>
    <sheetView showGridLines="0" tabSelected="1" zoomScale="115" zoomScaleNormal="115" workbookViewId="0">
      <selection activeCell="E26" sqref="E26"/>
    </sheetView>
  </sheetViews>
  <sheetFormatPr defaultRowHeight="15" x14ac:dyDescent="0.25"/>
  <cols>
    <col min="1" max="1" width="12.28515625" customWidth="1"/>
    <col min="2" max="2" width="11.85546875" bestFit="1" customWidth="1"/>
    <col min="3" max="3" width="16.140625" bestFit="1" customWidth="1"/>
    <col min="4" max="4" width="22.42578125" bestFit="1" customWidth="1"/>
    <col min="5" max="5" width="11" bestFit="1" customWidth="1"/>
    <col min="9" max="9" width="16.140625" bestFit="1" customWidth="1"/>
    <col min="10" max="10" width="22.42578125" bestFit="1" customWidth="1"/>
    <col min="11" max="11" width="12.28515625" bestFit="1" customWidth="1"/>
    <col min="12" max="12" width="13.140625" bestFit="1" customWidth="1"/>
    <col min="13" max="13" width="11.28515625" bestFit="1" customWidth="1"/>
    <col min="14" max="14" width="12" bestFit="1" customWidth="1"/>
    <col min="15" max="15" width="11.28515625" bestFit="1" customWidth="1"/>
    <col min="16" max="16" width="11" bestFit="1" customWidth="1"/>
    <col min="17" max="17" width="10.28515625" bestFit="1" customWidth="1"/>
    <col min="18" max="18" width="9.28515625" bestFit="1" customWidth="1"/>
  </cols>
  <sheetData>
    <row r="1" spans="1:18" x14ac:dyDescent="0.25">
      <c r="A1" t="s">
        <v>123</v>
      </c>
      <c r="B1" t="s">
        <v>124</v>
      </c>
    </row>
    <row r="2" spans="1:18" x14ac:dyDescent="0.25">
      <c r="A2" s="1">
        <v>44228</v>
      </c>
      <c r="B2" s="1">
        <v>44255</v>
      </c>
      <c r="J2" t="s">
        <v>125</v>
      </c>
      <c r="K2">
        <v>1</v>
      </c>
      <c r="L2">
        <v>1</v>
      </c>
      <c r="M2">
        <v>2</v>
      </c>
      <c r="N2">
        <v>2</v>
      </c>
      <c r="O2">
        <v>3</v>
      </c>
      <c r="P2">
        <v>3</v>
      </c>
      <c r="Q2">
        <v>4</v>
      </c>
      <c r="R2">
        <v>4</v>
      </c>
    </row>
    <row r="3" spans="1:18" x14ac:dyDescent="0.25">
      <c r="J3" t="s">
        <v>127</v>
      </c>
      <c r="K3" t="s">
        <v>128</v>
      </c>
      <c r="L3" t="s">
        <v>129</v>
      </c>
      <c r="M3" t="s">
        <v>128</v>
      </c>
      <c r="N3" t="s">
        <v>129</v>
      </c>
      <c r="O3" t="s">
        <v>128</v>
      </c>
      <c r="P3" t="s">
        <v>129</v>
      </c>
      <c r="Q3" t="s">
        <v>128</v>
      </c>
      <c r="R3" t="s">
        <v>129</v>
      </c>
    </row>
    <row r="4" spans="1:18" x14ac:dyDescent="0.25">
      <c r="D4" s="15" t="s">
        <v>122</v>
      </c>
      <c r="E4">
        <v>1</v>
      </c>
      <c r="K4" s="27" t="s">
        <v>106</v>
      </c>
      <c r="L4" s="27"/>
      <c r="M4" s="27" t="s">
        <v>106</v>
      </c>
      <c r="N4" s="27"/>
      <c r="O4" s="27" t="s">
        <v>106</v>
      </c>
      <c r="P4" s="27"/>
      <c r="Q4" s="27" t="s">
        <v>106</v>
      </c>
      <c r="R4" s="27"/>
    </row>
    <row r="5" spans="1:18" x14ac:dyDescent="0.25">
      <c r="E5" s="16" t="s">
        <v>82</v>
      </c>
      <c r="K5" s="28" t="str">
        <f>INDEX(tbl_Bancos[#Data],MATCH(K$2,tbl_Bancos[Codigo Conta],0),MATCH(K$4,tbl_Bancos[#Headers],0))</f>
        <v>Bradesco</v>
      </c>
      <c r="L5" s="28"/>
      <c r="M5" s="28" t="str">
        <f>INDEX(tbl_Bancos[#Data],MATCH(M$2,tbl_Bancos[Codigo Conta],0),MATCH(M$4,tbl_Bancos[#Headers],0))</f>
        <v>Nubank</v>
      </c>
      <c r="N5" s="28"/>
      <c r="O5" s="28" t="str">
        <f>INDEX(tbl_Bancos[#Data],MATCH(O$2,tbl_Bancos[Codigo Conta],0),MATCH(O$4,tbl_Bancos[#Headers],0))</f>
        <v>XP</v>
      </c>
      <c r="P5" s="28"/>
      <c r="Q5" s="28" t="str">
        <f>INDEX(tbl_Bancos[#Data],MATCH(Q$2,tbl_Bancos[Codigo Conta],0),MATCH(Q$4,tbl_Bancos[#Headers],0))</f>
        <v>Dinheiro</v>
      </c>
      <c r="R5" s="28"/>
    </row>
    <row r="6" spans="1:18" x14ac:dyDescent="0.25">
      <c r="C6" s="17" t="s">
        <v>109</v>
      </c>
      <c r="D6" s="17" t="s">
        <v>94</v>
      </c>
      <c r="E6" s="17" t="str">
        <f>INDEX(tbl_Cartões[#Data],MATCH(E$4,tbl_Cartões[Código Cartão],0),MATCH($E$5,tbl_Cartões[#Headers],0))</f>
        <v>Bradesco</v>
      </c>
      <c r="I6" s="17" t="s">
        <v>109</v>
      </c>
      <c r="J6" s="17" t="s">
        <v>94</v>
      </c>
      <c r="K6" s="17" t="s">
        <v>126</v>
      </c>
      <c r="L6" s="17" t="s">
        <v>72</v>
      </c>
      <c r="M6" s="17" t="s">
        <v>126</v>
      </c>
      <c r="N6" s="17" t="s">
        <v>72</v>
      </c>
      <c r="O6" s="17" t="s">
        <v>126</v>
      </c>
      <c r="P6" s="17" t="s">
        <v>72</v>
      </c>
      <c r="Q6" s="17" t="s">
        <v>126</v>
      </c>
      <c r="R6" s="17" t="s">
        <v>72</v>
      </c>
    </row>
    <row r="7" spans="1:18" x14ac:dyDescent="0.25">
      <c r="C7" s="18">
        <v>1</v>
      </c>
      <c r="D7" s="19" t="str">
        <f>INDEX(tbl_MovimentaçãoBancária_Categoria[#Data],MATCH($C7,tbl_MovimentaçãoBancária_Categoria[Código Categoria],0),MATCH(D$6,tbl_MovimentaçãoBancária_Categoria[#Headers],0))</f>
        <v>Serviços</v>
      </c>
      <c r="E7" s="22" cm="1">
        <f t="array" ref="E7">SUM(SUMIFS(tbl_MovimentaçãoCartão[Valor], tbl_MovimentaçãoCartão[Código Categoria],$C7,tbl_MovimentaçãoCartão[Código Cartão],E$4, tbl_MovimentaçãoCartão[Mês de Fechamento],FN_RetornarListaDatas(tbl_Painel_Datas[Data Início],tbl_Painel_Datas[Data Fim]))) * -1</f>
        <v>0</v>
      </c>
      <c r="I7" s="18">
        <v>1</v>
      </c>
      <c r="J7" s="19" t="str">
        <f>INDEX(tbl_MovimentaçãoBancária_Categoria[#Data],MATCH($C7,tbl_MovimentaçãoBancária_Categoria[Código Categoria],0),MATCH(J$6,tbl_MovimentaçãoBancária_Categoria[#Headers],0))</f>
        <v>Serviços</v>
      </c>
      <c r="K7" s="22" cm="1">
        <f t="array" ref="K7">SUM(SUMIFS(tbl_MovimentaçãoContaCorrente[Valor], tbl_MovimentaçãoContaCorrente[Código Categoria],$I7, tbl_MovimentaçãoContaCorrente[Data],FN_RetornarListaDatas(tbl_Painel_Datas[Data Início],tbl_Painel_Datas[Data Fim]), tbl_MovimentaçãoContaCorrente[Valor], K$3 &amp; 0, tbl_MovimentaçãoContaCorrente[Codigo Conta],K$2))</f>
        <v>0</v>
      </c>
      <c r="L7" s="22" cm="1">
        <f t="array" ref="L7">SUM(SUMIFS(tbl_MovimentaçãoContaCorrente[Valor], tbl_MovimentaçãoContaCorrente[Código Categoria],$I7, tbl_MovimentaçãoContaCorrente[Data],FN_RetornarListaDatas(tbl_Painel_Datas[Data Início],tbl_Painel_Datas[Data Fim]), tbl_MovimentaçãoContaCorrente[Valor], L$3 &amp; 0, tbl_MovimentaçãoContaCorrente[Codigo Conta],L$2))</f>
        <v>0</v>
      </c>
      <c r="M7" s="22" cm="1">
        <f t="array" ref="M7">SUM(SUMIFS(tbl_MovimentaçãoContaCorrente[Valor], tbl_MovimentaçãoContaCorrente[Código Categoria],$I7, tbl_MovimentaçãoContaCorrente[Data],FN_RetornarListaDatas(tbl_Painel_Datas[Data Início],tbl_Painel_Datas[Data Fim]), tbl_MovimentaçãoContaCorrente[Valor], M$3 &amp; 0, tbl_MovimentaçãoContaCorrente[Codigo Conta],M$2))</f>
        <v>0</v>
      </c>
      <c r="N7" s="22" cm="1">
        <f t="array" ref="N7">SUM(SUMIFS(tbl_MovimentaçãoContaCorrente[Valor], tbl_MovimentaçãoContaCorrente[Código Categoria],$I7, tbl_MovimentaçãoContaCorrente[Data],FN_RetornarListaDatas(tbl_Painel_Datas[Data Início],tbl_Painel_Datas[Data Fim]), tbl_MovimentaçãoContaCorrente[Valor], N$3 &amp; 0, tbl_MovimentaçãoContaCorrente[Codigo Conta],N$2))</f>
        <v>0</v>
      </c>
      <c r="O7" s="22" cm="1">
        <f t="array" ref="O7">SUM(SUMIFS(tbl_MovimentaçãoContaCorrente[Valor], tbl_MovimentaçãoContaCorrente[Código Categoria],$I7, tbl_MovimentaçãoContaCorrente[Data],FN_RetornarListaDatas(tbl_Painel_Datas[Data Início],tbl_Painel_Datas[Data Fim]), tbl_MovimentaçãoContaCorrente[Valor], O$3 &amp; 0, tbl_MovimentaçãoContaCorrente[Codigo Conta],O$2))</f>
        <v>0</v>
      </c>
      <c r="P7" s="22" cm="1">
        <f t="array" ref="P7">SUM(SUMIFS(tbl_MovimentaçãoContaCorrente[Valor], tbl_MovimentaçãoContaCorrente[Código Categoria],$I7, tbl_MovimentaçãoContaCorrente[Data],FN_RetornarListaDatas(tbl_Painel_Datas[Data Início],tbl_Painel_Datas[Data Fim]), tbl_MovimentaçãoContaCorrente[Valor], P$3 &amp; 0, tbl_MovimentaçãoContaCorrente[Codigo Conta],P$2))</f>
        <v>0</v>
      </c>
      <c r="Q7" s="22" cm="1">
        <f t="array" ref="Q7">SUM(SUMIFS(tbl_MovimentaçãoContaCorrente[Valor], tbl_MovimentaçãoContaCorrente[Código Categoria],$I7, tbl_MovimentaçãoContaCorrente[Data],FN_RetornarListaDatas(tbl_Painel_Datas[Data Início],tbl_Painel_Datas[Data Fim]), tbl_MovimentaçãoContaCorrente[Valor], Q$3 &amp; 0, tbl_MovimentaçãoContaCorrente[Codigo Conta],Q$2))</f>
        <v>0</v>
      </c>
      <c r="R7" s="22" cm="1">
        <f t="array" ref="R7">SUM(SUMIFS(tbl_MovimentaçãoContaCorrente[Valor], tbl_MovimentaçãoContaCorrente[Código Categoria],$I7,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8" spans="1:18" x14ac:dyDescent="0.25">
      <c r="C8" s="18">
        <v>2</v>
      </c>
      <c r="D8" s="19" t="str">
        <f>INDEX(tbl_MovimentaçãoBancária_Categoria[#Data],MATCH($C8,tbl_MovimentaçãoBancária_Categoria[Código Categoria],0),MATCH(D$6,tbl_MovimentaçãoBancária_Categoria[#Headers],0))</f>
        <v>Restaurante</v>
      </c>
      <c r="E8" s="22" cm="1">
        <f t="array" ref="E8">SUM(SUMIFS(tbl_MovimentaçãoCartão[Valor], tbl_MovimentaçãoCartão[Código Categoria],$C8,tbl_MovimentaçãoCartão[Código Cartão],E$4, tbl_MovimentaçãoCartão[Mês de Fechamento],FN_RetornarListaDatas(tbl_Painel_Datas[Data Início],tbl_Painel_Datas[Data Fim]))) * -1</f>
        <v>0</v>
      </c>
      <c r="I8" s="18">
        <v>2</v>
      </c>
      <c r="J8" s="19" t="str">
        <f>INDEX(tbl_MovimentaçãoBancária_Categoria[#Data],MATCH($C8,tbl_MovimentaçãoBancária_Categoria[Código Categoria],0),MATCH(J$6,tbl_MovimentaçãoBancária_Categoria[#Headers],0))</f>
        <v>Restaurante</v>
      </c>
      <c r="K8" s="22" cm="1">
        <f t="array" ref="K8">SUM(SUMIFS(tbl_MovimentaçãoContaCorrente[Valor], tbl_MovimentaçãoContaCorrente[Código Categoria],$I8, tbl_MovimentaçãoContaCorrente[Data],FN_RetornarListaDatas(tbl_Painel_Datas[Data Início],tbl_Painel_Datas[Data Fim]), tbl_MovimentaçãoContaCorrente[Valor], K$3 &amp; 0, tbl_MovimentaçãoContaCorrente[Codigo Conta],K$2))</f>
        <v>0</v>
      </c>
      <c r="L8" s="22" cm="1">
        <f t="array" ref="L8">SUM(SUMIFS(tbl_MovimentaçãoContaCorrente[Valor], tbl_MovimentaçãoContaCorrente[Código Categoria],$I8, tbl_MovimentaçãoContaCorrente[Data],FN_RetornarListaDatas(tbl_Painel_Datas[Data Início],tbl_Painel_Datas[Data Fim]), tbl_MovimentaçãoContaCorrente[Valor], L$3 &amp; 0, tbl_MovimentaçãoContaCorrente[Codigo Conta],L$2))</f>
        <v>0</v>
      </c>
      <c r="M8" s="22" cm="1">
        <f t="array" ref="M8">SUM(SUMIFS(tbl_MovimentaçãoContaCorrente[Valor], tbl_MovimentaçãoContaCorrente[Código Categoria],$I8, tbl_MovimentaçãoContaCorrente[Data],FN_RetornarListaDatas(tbl_Painel_Datas[Data Início],tbl_Painel_Datas[Data Fim]), tbl_MovimentaçãoContaCorrente[Valor], M$3 &amp; 0, tbl_MovimentaçãoContaCorrente[Codigo Conta],M$2))</f>
        <v>0</v>
      </c>
      <c r="N8" s="22" cm="1">
        <f t="array" ref="N8">SUM(SUMIFS(tbl_MovimentaçãoContaCorrente[Valor], tbl_MovimentaçãoContaCorrente[Código Categoria],$I8, tbl_MovimentaçãoContaCorrente[Data],FN_RetornarListaDatas(tbl_Painel_Datas[Data Início],tbl_Painel_Datas[Data Fim]), tbl_MovimentaçãoContaCorrente[Valor], N$3 &amp; 0, tbl_MovimentaçãoContaCorrente[Codigo Conta],N$2))</f>
        <v>0</v>
      </c>
      <c r="O8" s="22" cm="1">
        <f t="array" ref="O8">SUM(SUMIFS(tbl_MovimentaçãoContaCorrente[Valor], tbl_MovimentaçãoContaCorrente[Código Categoria],$I8, tbl_MovimentaçãoContaCorrente[Data],FN_RetornarListaDatas(tbl_Painel_Datas[Data Início],tbl_Painel_Datas[Data Fim]), tbl_MovimentaçãoContaCorrente[Valor], O$3 &amp; 0, tbl_MovimentaçãoContaCorrente[Codigo Conta],O$2))</f>
        <v>0</v>
      </c>
      <c r="P8" s="22" cm="1">
        <f t="array" ref="P8">SUM(SUMIFS(tbl_MovimentaçãoContaCorrente[Valor], tbl_MovimentaçãoContaCorrente[Código Categoria],$I8, tbl_MovimentaçãoContaCorrente[Data],FN_RetornarListaDatas(tbl_Painel_Datas[Data Início],tbl_Painel_Datas[Data Fim]), tbl_MovimentaçãoContaCorrente[Valor], P$3 &amp; 0, tbl_MovimentaçãoContaCorrente[Codigo Conta],P$2))</f>
        <v>0</v>
      </c>
      <c r="Q8" s="22" cm="1">
        <f t="array" ref="Q8">SUM(SUMIFS(tbl_MovimentaçãoContaCorrente[Valor], tbl_MovimentaçãoContaCorrente[Código Categoria],$I8, tbl_MovimentaçãoContaCorrente[Data],FN_RetornarListaDatas(tbl_Painel_Datas[Data Início],tbl_Painel_Datas[Data Fim]), tbl_MovimentaçãoContaCorrente[Valor], Q$3 &amp; 0, tbl_MovimentaçãoContaCorrente[Codigo Conta],Q$2))</f>
        <v>0</v>
      </c>
      <c r="R8" s="22" cm="1">
        <f t="array" ref="R8">SUM(SUMIFS(tbl_MovimentaçãoContaCorrente[Valor], tbl_MovimentaçãoContaCorrente[Código Categoria],$I8,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9" spans="1:18" x14ac:dyDescent="0.25">
      <c r="C9" s="18">
        <v>3</v>
      </c>
      <c r="D9" s="19" t="str">
        <f>INDEX(tbl_MovimentaçãoBancária_Categoria[#Data],MATCH($C9,tbl_MovimentaçãoBancária_Categoria[Código Categoria],0),MATCH(D$6,tbl_MovimentaçãoBancária_Categoria[#Headers],0))</f>
        <v>Transporte</v>
      </c>
      <c r="E9" s="22" cm="1">
        <f t="array" ref="E9">SUM(SUMIFS(tbl_MovimentaçãoCartão[Valor], tbl_MovimentaçãoCartão[Código Categoria],$C9,tbl_MovimentaçãoCartão[Código Cartão],E$4, tbl_MovimentaçãoCartão[Mês de Fechamento],FN_RetornarListaDatas(tbl_Painel_Datas[Data Início],tbl_Painel_Datas[Data Fim]))) * -1</f>
        <v>0</v>
      </c>
      <c r="I9" s="18">
        <v>3</v>
      </c>
      <c r="J9" s="19" t="str">
        <f>INDEX(tbl_MovimentaçãoBancária_Categoria[#Data],MATCH($C9,tbl_MovimentaçãoBancária_Categoria[Código Categoria],0),MATCH(J$6,tbl_MovimentaçãoBancária_Categoria[#Headers],0))</f>
        <v>Transporte</v>
      </c>
      <c r="K9" s="22" cm="1">
        <f t="array" ref="K9">SUM(SUMIFS(tbl_MovimentaçãoContaCorrente[Valor], tbl_MovimentaçãoContaCorrente[Código Categoria],$I9, tbl_MovimentaçãoContaCorrente[Data],FN_RetornarListaDatas(tbl_Painel_Datas[Data Início],tbl_Painel_Datas[Data Fim]), tbl_MovimentaçãoContaCorrente[Valor], K$3 &amp; 0, tbl_MovimentaçãoContaCorrente[Codigo Conta],K$2))</f>
        <v>0</v>
      </c>
      <c r="L9" s="22" cm="1">
        <f t="array" ref="L9">SUM(SUMIFS(tbl_MovimentaçãoContaCorrente[Valor], tbl_MovimentaçãoContaCorrente[Código Categoria],$I9, tbl_MovimentaçãoContaCorrente[Data],FN_RetornarListaDatas(tbl_Painel_Datas[Data Início],tbl_Painel_Datas[Data Fim]), tbl_MovimentaçãoContaCorrente[Valor], L$3 &amp; 0, tbl_MovimentaçãoContaCorrente[Codigo Conta],L$2))</f>
        <v>0</v>
      </c>
      <c r="M9" s="22" cm="1">
        <f t="array" ref="M9">SUM(SUMIFS(tbl_MovimentaçãoContaCorrente[Valor], tbl_MovimentaçãoContaCorrente[Código Categoria],$I9, tbl_MovimentaçãoContaCorrente[Data],FN_RetornarListaDatas(tbl_Painel_Datas[Data Início],tbl_Painel_Datas[Data Fim]), tbl_MovimentaçãoContaCorrente[Valor], M$3 &amp; 0, tbl_MovimentaçãoContaCorrente[Codigo Conta],M$2))</f>
        <v>0</v>
      </c>
      <c r="N9" s="22" cm="1">
        <f t="array" ref="N9">SUM(SUMIFS(tbl_MovimentaçãoContaCorrente[Valor], tbl_MovimentaçãoContaCorrente[Código Categoria],$I9, tbl_MovimentaçãoContaCorrente[Data],FN_RetornarListaDatas(tbl_Painel_Datas[Data Início],tbl_Painel_Datas[Data Fim]), tbl_MovimentaçãoContaCorrente[Valor], N$3 &amp; 0, tbl_MovimentaçãoContaCorrente[Codigo Conta],N$2))</f>
        <v>0</v>
      </c>
      <c r="O9" s="22" cm="1">
        <f t="array" ref="O9">SUM(SUMIFS(tbl_MovimentaçãoContaCorrente[Valor], tbl_MovimentaçãoContaCorrente[Código Categoria],$I9, tbl_MovimentaçãoContaCorrente[Data],FN_RetornarListaDatas(tbl_Painel_Datas[Data Início],tbl_Painel_Datas[Data Fim]), tbl_MovimentaçãoContaCorrente[Valor], O$3 &amp; 0, tbl_MovimentaçãoContaCorrente[Codigo Conta],O$2))</f>
        <v>0</v>
      </c>
      <c r="P9" s="22" cm="1">
        <f t="array" ref="P9">SUM(SUMIFS(tbl_MovimentaçãoContaCorrente[Valor], tbl_MovimentaçãoContaCorrente[Código Categoria],$I9, tbl_MovimentaçãoContaCorrente[Data],FN_RetornarListaDatas(tbl_Painel_Datas[Data Início],tbl_Painel_Datas[Data Fim]), tbl_MovimentaçãoContaCorrente[Valor], P$3 &amp; 0, tbl_MovimentaçãoContaCorrente[Codigo Conta],P$2))</f>
        <v>0</v>
      </c>
      <c r="Q9" s="22" cm="1">
        <f t="array" ref="Q9">SUM(SUMIFS(tbl_MovimentaçãoContaCorrente[Valor], tbl_MovimentaçãoContaCorrente[Código Categoria],$I9, tbl_MovimentaçãoContaCorrente[Data],FN_RetornarListaDatas(tbl_Painel_Datas[Data Início],tbl_Painel_Datas[Data Fim]), tbl_MovimentaçãoContaCorrente[Valor], Q$3 &amp; 0, tbl_MovimentaçãoContaCorrente[Codigo Conta],Q$2))</f>
        <v>0</v>
      </c>
      <c r="R9" s="22" cm="1">
        <f t="array" ref="R9">SUM(SUMIFS(tbl_MovimentaçãoContaCorrente[Valor], tbl_MovimentaçãoContaCorrente[Código Categoria],$I9,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10" spans="1:18" x14ac:dyDescent="0.25">
      <c r="C10" s="18">
        <v>4</v>
      </c>
      <c r="D10" s="19" t="str">
        <f>INDEX(tbl_MovimentaçãoBancária_Categoria[#Data],MATCH($C10,tbl_MovimentaçãoBancária_Categoria[Código Categoria],0),MATCH(D$6,tbl_MovimentaçãoBancária_Categoria[#Headers],0))</f>
        <v>Lazer</v>
      </c>
      <c r="E10" s="22" cm="1">
        <f t="array" ref="E10">SUM(SUMIFS(tbl_MovimentaçãoCartão[Valor], tbl_MovimentaçãoCartão[Código Categoria],$C10,tbl_MovimentaçãoCartão[Código Cartão],E$4, tbl_MovimentaçãoCartão[Mês de Fechamento],FN_RetornarListaDatas(tbl_Painel_Datas[Data Início],tbl_Painel_Datas[Data Fim]))) * -1</f>
        <v>0</v>
      </c>
      <c r="I10" s="18">
        <v>4</v>
      </c>
      <c r="J10" s="19" t="str">
        <f>INDEX(tbl_MovimentaçãoBancária_Categoria[#Data],MATCH($C10,tbl_MovimentaçãoBancária_Categoria[Código Categoria],0),MATCH(J$6,tbl_MovimentaçãoBancária_Categoria[#Headers],0))</f>
        <v>Lazer</v>
      </c>
      <c r="K10" s="22" cm="1">
        <f t="array" ref="K10">SUM(SUMIFS(tbl_MovimentaçãoContaCorrente[Valor], tbl_MovimentaçãoContaCorrente[Código Categoria],$I10, tbl_MovimentaçãoContaCorrente[Data],FN_RetornarListaDatas(tbl_Painel_Datas[Data Início],tbl_Painel_Datas[Data Fim]), tbl_MovimentaçãoContaCorrente[Valor], K$3 &amp; 0, tbl_MovimentaçãoContaCorrente[Codigo Conta],K$2))</f>
        <v>0</v>
      </c>
      <c r="L10" s="22" cm="1">
        <f t="array" ref="L10">SUM(SUMIFS(tbl_MovimentaçãoContaCorrente[Valor], tbl_MovimentaçãoContaCorrente[Código Categoria],$I10, tbl_MovimentaçãoContaCorrente[Data],FN_RetornarListaDatas(tbl_Painel_Datas[Data Início],tbl_Painel_Datas[Data Fim]), tbl_MovimentaçãoContaCorrente[Valor], L$3 &amp; 0, tbl_MovimentaçãoContaCorrente[Codigo Conta],L$2))</f>
        <v>0</v>
      </c>
      <c r="M10" s="22" cm="1">
        <f t="array" ref="M10">SUM(SUMIFS(tbl_MovimentaçãoContaCorrente[Valor], tbl_MovimentaçãoContaCorrente[Código Categoria],$I10, tbl_MovimentaçãoContaCorrente[Data],FN_RetornarListaDatas(tbl_Painel_Datas[Data Início],tbl_Painel_Datas[Data Fim]), tbl_MovimentaçãoContaCorrente[Valor], M$3 &amp; 0, tbl_MovimentaçãoContaCorrente[Codigo Conta],M$2))</f>
        <v>0</v>
      </c>
      <c r="N10" s="22" cm="1">
        <f t="array" ref="N10">SUM(SUMIFS(tbl_MovimentaçãoContaCorrente[Valor], tbl_MovimentaçãoContaCorrente[Código Categoria],$I10, tbl_MovimentaçãoContaCorrente[Data],FN_RetornarListaDatas(tbl_Painel_Datas[Data Início],tbl_Painel_Datas[Data Fim]), tbl_MovimentaçãoContaCorrente[Valor], N$3 &amp; 0, tbl_MovimentaçãoContaCorrente[Codigo Conta],N$2))</f>
        <v>0</v>
      </c>
      <c r="O10" s="22" cm="1">
        <f t="array" ref="O10">SUM(SUMIFS(tbl_MovimentaçãoContaCorrente[Valor], tbl_MovimentaçãoContaCorrente[Código Categoria],$I10, tbl_MovimentaçãoContaCorrente[Data],FN_RetornarListaDatas(tbl_Painel_Datas[Data Início],tbl_Painel_Datas[Data Fim]), tbl_MovimentaçãoContaCorrente[Valor], O$3 &amp; 0, tbl_MovimentaçãoContaCorrente[Codigo Conta],O$2))</f>
        <v>0</v>
      </c>
      <c r="P10" s="22" cm="1">
        <f t="array" ref="P10">SUM(SUMIFS(tbl_MovimentaçãoContaCorrente[Valor], tbl_MovimentaçãoContaCorrente[Código Categoria],$I10, tbl_MovimentaçãoContaCorrente[Data],FN_RetornarListaDatas(tbl_Painel_Datas[Data Início],tbl_Painel_Datas[Data Fim]), tbl_MovimentaçãoContaCorrente[Valor], P$3 &amp; 0, tbl_MovimentaçãoContaCorrente[Codigo Conta],P$2))</f>
        <v>0</v>
      </c>
      <c r="Q10" s="22" cm="1">
        <f t="array" ref="Q10">SUM(SUMIFS(tbl_MovimentaçãoContaCorrente[Valor], tbl_MovimentaçãoContaCorrente[Código Categoria],$I10, tbl_MovimentaçãoContaCorrente[Data],FN_RetornarListaDatas(tbl_Painel_Datas[Data Início],tbl_Painel_Datas[Data Fim]), tbl_MovimentaçãoContaCorrente[Valor], Q$3 &amp; 0, tbl_MovimentaçãoContaCorrente[Codigo Conta],Q$2))</f>
        <v>0</v>
      </c>
      <c r="R10" s="22" cm="1">
        <f t="array" ref="R10">SUM(SUMIFS(tbl_MovimentaçãoContaCorrente[Valor], tbl_MovimentaçãoContaCorrente[Código Categoria],$I10,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11" spans="1:18" x14ac:dyDescent="0.25">
      <c r="C11" s="18">
        <v>5</v>
      </c>
      <c r="D11" s="19" t="str">
        <f>INDEX(tbl_MovimentaçãoBancária_Categoria[#Data],MATCH($C11,tbl_MovimentaçãoBancária_Categoria[Código Categoria],0),MATCH(D$6,tbl_MovimentaçãoBancária_Categoria[#Headers],0))</f>
        <v>Casa</v>
      </c>
      <c r="E11" s="22" cm="1">
        <f t="array" ref="E11">SUM(SUMIFS(tbl_MovimentaçãoCartão[Valor], tbl_MovimentaçãoCartão[Código Categoria],$C11,tbl_MovimentaçãoCartão[Código Cartão],E$4, tbl_MovimentaçãoCartão[Mês de Fechamento],FN_RetornarListaDatas(tbl_Painel_Datas[Data Início],tbl_Painel_Datas[Data Fim]))) * -1</f>
        <v>0</v>
      </c>
      <c r="I11" s="18">
        <v>5</v>
      </c>
      <c r="J11" s="19" t="str">
        <f>INDEX(tbl_MovimentaçãoBancária_Categoria[#Data],MATCH($C11,tbl_MovimentaçãoBancária_Categoria[Código Categoria],0),MATCH(J$6,tbl_MovimentaçãoBancária_Categoria[#Headers],0))</f>
        <v>Casa</v>
      </c>
      <c r="K11" s="22" cm="1">
        <f t="array" ref="K11">SUM(SUMIFS(tbl_MovimentaçãoContaCorrente[Valor], tbl_MovimentaçãoContaCorrente[Código Categoria],$I11, tbl_MovimentaçãoContaCorrente[Data],FN_RetornarListaDatas(tbl_Painel_Datas[Data Início],tbl_Painel_Datas[Data Fim]), tbl_MovimentaçãoContaCorrente[Valor], K$3 &amp; 0, tbl_MovimentaçãoContaCorrente[Codigo Conta],K$2))</f>
        <v>0</v>
      </c>
      <c r="L11" s="22" cm="1">
        <f t="array" ref="L11">SUM(SUMIFS(tbl_MovimentaçãoContaCorrente[Valor], tbl_MovimentaçãoContaCorrente[Código Categoria],$I11, tbl_MovimentaçãoContaCorrente[Data],FN_RetornarListaDatas(tbl_Painel_Datas[Data Início],tbl_Painel_Datas[Data Fim]), tbl_MovimentaçãoContaCorrente[Valor], L$3 &amp; 0, tbl_MovimentaçãoContaCorrente[Codigo Conta],L$2))</f>
        <v>0</v>
      </c>
      <c r="M11" s="22" cm="1">
        <f t="array" ref="M11">SUM(SUMIFS(tbl_MovimentaçãoContaCorrente[Valor], tbl_MovimentaçãoContaCorrente[Código Categoria],$I11, tbl_MovimentaçãoContaCorrente[Data],FN_RetornarListaDatas(tbl_Painel_Datas[Data Início],tbl_Painel_Datas[Data Fim]), tbl_MovimentaçãoContaCorrente[Valor], M$3 &amp; 0, tbl_MovimentaçãoContaCorrente[Codigo Conta],M$2))</f>
        <v>0</v>
      </c>
      <c r="N11" s="22" cm="1">
        <f t="array" ref="N11">SUM(SUMIFS(tbl_MovimentaçãoContaCorrente[Valor], tbl_MovimentaçãoContaCorrente[Código Categoria],$I11, tbl_MovimentaçãoContaCorrente[Data],FN_RetornarListaDatas(tbl_Painel_Datas[Data Início],tbl_Painel_Datas[Data Fim]), tbl_MovimentaçãoContaCorrente[Valor], N$3 &amp; 0, tbl_MovimentaçãoContaCorrente[Codigo Conta],N$2))</f>
        <v>0</v>
      </c>
      <c r="O11" s="22" cm="1">
        <f t="array" ref="O11">SUM(SUMIFS(tbl_MovimentaçãoContaCorrente[Valor], tbl_MovimentaçãoContaCorrente[Código Categoria],$I11, tbl_MovimentaçãoContaCorrente[Data],FN_RetornarListaDatas(tbl_Painel_Datas[Data Início],tbl_Painel_Datas[Data Fim]), tbl_MovimentaçãoContaCorrente[Valor], O$3 &amp; 0, tbl_MovimentaçãoContaCorrente[Codigo Conta],O$2))</f>
        <v>0</v>
      </c>
      <c r="P11" s="22" cm="1">
        <f t="array" ref="P11">SUM(SUMIFS(tbl_MovimentaçãoContaCorrente[Valor], tbl_MovimentaçãoContaCorrente[Código Categoria],$I11, tbl_MovimentaçãoContaCorrente[Data],FN_RetornarListaDatas(tbl_Painel_Datas[Data Início],tbl_Painel_Datas[Data Fim]), tbl_MovimentaçãoContaCorrente[Valor], P$3 &amp; 0, tbl_MovimentaçãoContaCorrente[Codigo Conta],P$2))</f>
        <v>0</v>
      </c>
      <c r="Q11" s="22" cm="1">
        <f t="array" ref="Q11">SUM(SUMIFS(tbl_MovimentaçãoContaCorrente[Valor], tbl_MovimentaçãoContaCorrente[Código Categoria],$I11, tbl_MovimentaçãoContaCorrente[Data],FN_RetornarListaDatas(tbl_Painel_Datas[Data Início],tbl_Painel_Datas[Data Fim]), tbl_MovimentaçãoContaCorrente[Valor], Q$3 &amp; 0, tbl_MovimentaçãoContaCorrente[Codigo Conta],Q$2))</f>
        <v>0</v>
      </c>
      <c r="R11" s="22" cm="1">
        <f t="array" ref="R11">SUM(SUMIFS(tbl_MovimentaçãoContaCorrente[Valor], tbl_MovimentaçãoContaCorrente[Código Categoria],$I11,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12" spans="1:18" x14ac:dyDescent="0.25">
      <c r="C12" s="18">
        <v>6</v>
      </c>
      <c r="D12" s="19" t="str">
        <f>INDEX(tbl_MovimentaçãoBancária_Categoria[#Data],MATCH($C12,tbl_MovimentaçãoBancária_Categoria[Código Categoria],0),MATCH(D$6,tbl_MovimentaçãoBancária_Categoria[#Headers],0))</f>
        <v>Alimentação</v>
      </c>
      <c r="E12" s="22" cm="1">
        <f t="array" ref="E12">SUM(SUMIFS(tbl_MovimentaçãoCartão[Valor], tbl_MovimentaçãoCartão[Código Categoria],$C12,tbl_MovimentaçãoCartão[Código Cartão],E$4, tbl_MovimentaçãoCartão[Mês de Fechamento],FN_RetornarListaDatas(tbl_Painel_Datas[Data Início],tbl_Painel_Datas[Data Fim]))) * -1</f>
        <v>0</v>
      </c>
      <c r="I12" s="18">
        <v>6</v>
      </c>
      <c r="J12" s="19" t="str">
        <f>INDEX(tbl_MovimentaçãoBancária_Categoria[#Data],MATCH($C12,tbl_MovimentaçãoBancária_Categoria[Código Categoria],0),MATCH(J$6,tbl_MovimentaçãoBancária_Categoria[#Headers],0))</f>
        <v>Alimentação</v>
      </c>
      <c r="K12" s="22" cm="1">
        <f t="array" ref="K12">SUM(SUMIFS(tbl_MovimentaçãoContaCorrente[Valor], tbl_MovimentaçãoContaCorrente[Código Categoria],$I12, tbl_MovimentaçãoContaCorrente[Data],FN_RetornarListaDatas(tbl_Painel_Datas[Data Início],tbl_Painel_Datas[Data Fim]), tbl_MovimentaçãoContaCorrente[Valor], K$3 &amp; 0, tbl_MovimentaçãoContaCorrente[Codigo Conta],K$2))</f>
        <v>0</v>
      </c>
      <c r="L12" s="22" cm="1">
        <f t="array" ref="L12">SUM(SUMIFS(tbl_MovimentaçãoContaCorrente[Valor], tbl_MovimentaçãoContaCorrente[Código Categoria],$I12, tbl_MovimentaçãoContaCorrente[Data],FN_RetornarListaDatas(tbl_Painel_Datas[Data Início],tbl_Painel_Datas[Data Fim]), tbl_MovimentaçãoContaCorrente[Valor], L$3 &amp; 0, tbl_MovimentaçãoContaCorrente[Codigo Conta],L$2))</f>
        <v>0</v>
      </c>
      <c r="M12" s="22" cm="1">
        <f t="array" ref="M12">SUM(SUMIFS(tbl_MovimentaçãoContaCorrente[Valor], tbl_MovimentaçãoContaCorrente[Código Categoria],$I12, tbl_MovimentaçãoContaCorrente[Data],FN_RetornarListaDatas(tbl_Painel_Datas[Data Início],tbl_Painel_Datas[Data Fim]), tbl_MovimentaçãoContaCorrente[Valor], M$3 &amp; 0, tbl_MovimentaçãoContaCorrente[Codigo Conta],M$2))</f>
        <v>0</v>
      </c>
      <c r="N12" s="22" cm="1">
        <f t="array" ref="N12">SUM(SUMIFS(tbl_MovimentaçãoContaCorrente[Valor], tbl_MovimentaçãoContaCorrente[Código Categoria],$I12, tbl_MovimentaçãoContaCorrente[Data],FN_RetornarListaDatas(tbl_Painel_Datas[Data Início],tbl_Painel_Datas[Data Fim]), tbl_MovimentaçãoContaCorrente[Valor], N$3 &amp; 0, tbl_MovimentaçãoContaCorrente[Codigo Conta],N$2))</f>
        <v>0</v>
      </c>
      <c r="O12" s="22" cm="1">
        <f t="array" ref="O12">SUM(SUMIFS(tbl_MovimentaçãoContaCorrente[Valor], tbl_MovimentaçãoContaCorrente[Código Categoria],$I12, tbl_MovimentaçãoContaCorrente[Data],FN_RetornarListaDatas(tbl_Painel_Datas[Data Início],tbl_Painel_Datas[Data Fim]), tbl_MovimentaçãoContaCorrente[Valor], O$3 &amp; 0, tbl_MovimentaçãoContaCorrente[Codigo Conta],O$2))</f>
        <v>0</v>
      </c>
      <c r="P12" s="22" cm="1">
        <f t="array" ref="P12">SUM(SUMIFS(tbl_MovimentaçãoContaCorrente[Valor], tbl_MovimentaçãoContaCorrente[Código Categoria],$I12, tbl_MovimentaçãoContaCorrente[Data],FN_RetornarListaDatas(tbl_Painel_Datas[Data Início],tbl_Painel_Datas[Data Fim]), tbl_MovimentaçãoContaCorrente[Valor], P$3 &amp; 0, tbl_MovimentaçãoContaCorrente[Codigo Conta],P$2))</f>
        <v>0</v>
      </c>
      <c r="Q12" s="22" cm="1">
        <f t="array" ref="Q12">SUM(SUMIFS(tbl_MovimentaçãoContaCorrente[Valor], tbl_MovimentaçãoContaCorrente[Código Categoria],$I12, tbl_MovimentaçãoContaCorrente[Data],FN_RetornarListaDatas(tbl_Painel_Datas[Data Início],tbl_Painel_Datas[Data Fim]), tbl_MovimentaçãoContaCorrente[Valor], Q$3 &amp; 0, tbl_MovimentaçãoContaCorrente[Codigo Conta],Q$2))</f>
        <v>0</v>
      </c>
      <c r="R12" s="22" cm="1">
        <f t="array" ref="R12">SUM(SUMIFS(tbl_MovimentaçãoContaCorrente[Valor], tbl_MovimentaçãoContaCorrente[Código Categoria],$I12,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13" spans="1:18" x14ac:dyDescent="0.25">
      <c r="C13" s="18">
        <v>7</v>
      </c>
      <c r="D13" s="19" t="str">
        <f>INDEX(tbl_MovimentaçãoBancária_Categoria[#Data],MATCH($C13,tbl_MovimentaçãoBancária_Categoria[Código Categoria],0),MATCH(D$6,tbl_MovimentaçãoBancária_Categoria[#Headers],0))</f>
        <v>Educação</v>
      </c>
      <c r="E13" s="22" cm="1">
        <f t="array" ref="E13">SUM(SUMIFS(tbl_MovimentaçãoCartão[Valor], tbl_MovimentaçãoCartão[Código Categoria],$C13,tbl_MovimentaçãoCartão[Código Cartão],E$4, tbl_MovimentaçãoCartão[Mês de Fechamento],FN_RetornarListaDatas(tbl_Painel_Datas[Data Início],tbl_Painel_Datas[Data Fim]))) * -1</f>
        <v>0</v>
      </c>
      <c r="I13" s="18">
        <v>7</v>
      </c>
      <c r="J13" s="19" t="str">
        <f>INDEX(tbl_MovimentaçãoBancária_Categoria[#Data],MATCH($C13,tbl_MovimentaçãoBancária_Categoria[Código Categoria],0),MATCH(J$6,tbl_MovimentaçãoBancária_Categoria[#Headers],0))</f>
        <v>Educação</v>
      </c>
      <c r="K13" s="22" cm="1">
        <f t="array" ref="K13">SUM(SUMIFS(tbl_MovimentaçãoContaCorrente[Valor], tbl_MovimentaçãoContaCorrente[Código Categoria],$I13, tbl_MovimentaçãoContaCorrente[Data],FN_RetornarListaDatas(tbl_Painel_Datas[Data Início],tbl_Painel_Datas[Data Fim]), tbl_MovimentaçãoContaCorrente[Valor], K$3 &amp; 0, tbl_MovimentaçãoContaCorrente[Codigo Conta],K$2))</f>
        <v>0</v>
      </c>
      <c r="L13" s="22" cm="1">
        <f t="array" ref="L13">SUM(SUMIFS(tbl_MovimentaçãoContaCorrente[Valor], tbl_MovimentaçãoContaCorrente[Código Categoria],$I13, tbl_MovimentaçãoContaCorrente[Data],FN_RetornarListaDatas(tbl_Painel_Datas[Data Início],tbl_Painel_Datas[Data Fim]), tbl_MovimentaçãoContaCorrente[Valor], L$3 &amp; 0, tbl_MovimentaçãoContaCorrente[Codigo Conta],L$2))</f>
        <v>0</v>
      </c>
      <c r="M13" s="22" cm="1">
        <f t="array" ref="M13">SUM(SUMIFS(tbl_MovimentaçãoContaCorrente[Valor], tbl_MovimentaçãoContaCorrente[Código Categoria],$I13, tbl_MovimentaçãoContaCorrente[Data],FN_RetornarListaDatas(tbl_Painel_Datas[Data Início],tbl_Painel_Datas[Data Fim]), tbl_MovimentaçãoContaCorrente[Valor], M$3 &amp; 0, tbl_MovimentaçãoContaCorrente[Codigo Conta],M$2))</f>
        <v>0</v>
      </c>
      <c r="N13" s="22" cm="1">
        <f t="array" ref="N13">SUM(SUMIFS(tbl_MovimentaçãoContaCorrente[Valor], tbl_MovimentaçãoContaCorrente[Código Categoria],$I13, tbl_MovimentaçãoContaCorrente[Data],FN_RetornarListaDatas(tbl_Painel_Datas[Data Início],tbl_Painel_Datas[Data Fim]), tbl_MovimentaçãoContaCorrente[Valor], N$3 &amp; 0, tbl_MovimentaçãoContaCorrente[Codigo Conta],N$2))</f>
        <v>0</v>
      </c>
      <c r="O13" s="22" cm="1">
        <f t="array" ref="O13">SUM(SUMIFS(tbl_MovimentaçãoContaCorrente[Valor], tbl_MovimentaçãoContaCorrente[Código Categoria],$I13, tbl_MovimentaçãoContaCorrente[Data],FN_RetornarListaDatas(tbl_Painel_Datas[Data Início],tbl_Painel_Datas[Data Fim]), tbl_MovimentaçãoContaCorrente[Valor], O$3 &amp; 0, tbl_MovimentaçãoContaCorrente[Codigo Conta],O$2))</f>
        <v>0</v>
      </c>
      <c r="P13" s="22" cm="1">
        <f t="array" ref="P13">SUM(SUMIFS(tbl_MovimentaçãoContaCorrente[Valor], tbl_MovimentaçãoContaCorrente[Código Categoria],$I13, tbl_MovimentaçãoContaCorrente[Data],FN_RetornarListaDatas(tbl_Painel_Datas[Data Início],tbl_Painel_Datas[Data Fim]), tbl_MovimentaçãoContaCorrente[Valor], P$3 &amp; 0, tbl_MovimentaçãoContaCorrente[Codigo Conta],P$2))</f>
        <v>0</v>
      </c>
      <c r="Q13" s="22" cm="1">
        <f t="array" ref="Q13">SUM(SUMIFS(tbl_MovimentaçãoContaCorrente[Valor], tbl_MovimentaçãoContaCorrente[Código Categoria],$I13, tbl_MovimentaçãoContaCorrente[Data],FN_RetornarListaDatas(tbl_Painel_Datas[Data Início],tbl_Painel_Datas[Data Fim]), tbl_MovimentaçãoContaCorrente[Valor], Q$3 &amp; 0, tbl_MovimentaçãoContaCorrente[Codigo Conta],Q$2))</f>
        <v>0</v>
      </c>
      <c r="R13" s="22" cm="1">
        <f t="array" ref="R13">SUM(SUMIFS(tbl_MovimentaçãoContaCorrente[Valor], tbl_MovimentaçãoContaCorrente[Código Categoria],$I13,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14" spans="1:18" x14ac:dyDescent="0.25">
      <c r="C14" s="18">
        <v>8</v>
      </c>
      <c r="D14" s="19" t="str">
        <f>INDEX(tbl_MovimentaçãoBancária_Categoria[#Data],MATCH($C14,tbl_MovimentaçãoBancária_Categoria[Código Categoria],0),MATCH(D$6,tbl_MovimentaçãoBancária_Categoria[#Headers],0))</f>
        <v>Saúde</v>
      </c>
      <c r="E14" s="22" cm="1">
        <f t="array" ref="E14">SUM(SUMIFS(tbl_MovimentaçãoCartão[Valor], tbl_MovimentaçãoCartão[Código Categoria],$C14,tbl_MovimentaçãoCartão[Código Cartão],E$4, tbl_MovimentaçãoCartão[Mês de Fechamento],FN_RetornarListaDatas(tbl_Painel_Datas[Data Início],tbl_Painel_Datas[Data Fim]))) * -1</f>
        <v>0</v>
      </c>
      <c r="I14" s="18">
        <v>8</v>
      </c>
      <c r="J14" s="19" t="str">
        <f>INDEX(tbl_MovimentaçãoBancária_Categoria[#Data],MATCH($C14,tbl_MovimentaçãoBancária_Categoria[Código Categoria],0),MATCH(J$6,tbl_MovimentaçãoBancária_Categoria[#Headers],0))</f>
        <v>Saúde</v>
      </c>
      <c r="K14" s="22" cm="1">
        <f t="array" ref="K14">SUM(SUMIFS(tbl_MovimentaçãoContaCorrente[Valor], tbl_MovimentaçãoContaCorrente[Código Categoria],$I14, tbl_MovimentaçãoContaCorrente[Data],FN_RetornarListaDatas(tbl_Painel_Datas[Data Início],tbl_Painel_Datas[Data Fim]), tbl_MovimentaçãoContaCorrente[Valor], K$3 &amp; 0, tbl_MovimentaçãoContaCorrente[Codigo Conta],K$2))</f>
        <v>0</v>
      </c>
      <c r="L14" s="22" cm="1">
        <f t="array" ref="L14">SUM(SUMIFS(tbl_MovimentaçãoContaCorrente[Valor], tbl_MovimentaçãoContaCorrente[Código Categoria],$I14, tbl_MovimentaçãoContaCorrente[Data],FN_RetornarListaDatas(tbl_Painel_Datas[Data Início],tbl_Painel_Datas[Data Fim]), tbl_MovimentaçãoContaCorrente[Valor], L$3 &amp; 0, tbl_MovimentaçãoContaCorrente[Codigo Conta],L$2))</f>
        <v>0</v>
      </c>
      <c r="M14" s="22" cm="1">
        <f t="array" ref="M14">SUM(SUMIFS(tbl_MovimentaçãoContaCorrente[Valor], tbl_MovimentaçãoContaCorrente[Código Categoria],$I14, tbl_MovimentaçãoContaCorrente[Data],FN_RetornarListaDatas(tbl_Painel_Datas[Data Início],tbl_Painel_Datas[Data Fim]), tbl_MovimentaçãoContaCorrente[Valor], M$3 &amp; 0, tbl_MovimentaçãoContaCorrente[Codigo Conta],M$2))</f>
        <v>0</v>
      </c>
      <c r="N14" s="22" cm="1">
        <f t="array" ref="N14">SUM(SUMIFS(tbl_MovimentaçãoContaCorrente[Valor], tbl_MovimentaçãoContaCorrente[Código Categoria],$I14, tbl_MovimentaçãoContaCorrente[Data],FN_RetornarListaDatas(tbl_Painel_Datas[Data Início],tbl_Painel_Datas[Data Fim]), tbl_MovimentaçãoContaCorrente[Valor], N$3 &amp; 0, tbl_MovimentaçãoContaCorrente[Codigo Conta],N$2))</f>
        <v>0</v>
      </c>
      <c r="O14" s="22" cm="1">
        <f t="array" ref="O14">SUM(SUMIFS(tbl_MovimentaçãoContaCorrente[Valor], tbl_MovimentaçãoContaCorrente[Código Categoria],$I14, tbl_MovimentaçãoContaCorrente[Data],FN_RetornarListaDatas(tbl_Painel_Datas[Data Início],tbl_Painel_Datas[Data Fim]), tbl_MovimentaçãoContaCorrente[Valor], O$3 &amp; 0, tbl_MovimentaçãoContaCorrente[Codigo Conta],O$2))</f>
        <v>0</v>
      </c>
      <c r="P14" s="22" cm="1">
        <f t="array" ref="P14">SUM(SUMIFS(tbl_MovimentaçãoContaCorrente[Valor], tbl_MovimentaçãoContaCorrente[Código Categoria],$I14, tbl_MovimentaçãoContaCorrente[Data],FN_RetornarListaDatas(tbl_Painel_Datas[Data Início],tbl_Painel_Datas[Data Fim]), tbl_MovimentaçãoContaCorrente[Valor], P$3 &amp; 0, tbl_MovimentaçãoContaCorrente[Codigo Conta],P$2))</f>
        <v>0</v>
      </c>
      <c r="Q14" s="22" cm="1">
        <f t="array" ref="Q14">SUM(SUMIFS(tbl_MovimentaçãoContaCorrente[Valor], tbl_MovimentaçãoContaCorrente[Código Categoria],$I14, tbl_MovimentaçãoContaCorrente[Data],FN_RetornarListaDatas(tbl_Painel_Datas[Data Início],tbl_Painel_Datas[Data Fim]), tbl_MovimentaçãoContaCorrente[Valor], Q$3 &amp; 0, tbl_MovimentaçãoContaCorrente[Codigo Conta],Q$2))</f>
        <v>0</v>
      </c>
      <c r="R14" s="22" cm="1">
        <f t="array" ref="R14">SUM(SUMIFS(tbl_MovimentaçãoContaCorrente[Valor], tbl_MovimentaçãoContaCorrente[Código Categoria],$I14,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15" spans="1:18" x14ac:dyDescent="0.25">
      <c r="C15" s="18">
        <v>9</v>
      </c>
      <c r="D15" s="19" t="str">
        <f>INDEX(tbl_MovimentaçãoBancária_Categoria[#Data],MATCH($C15,tbl_MovimentaçãoBancária_Categoria[Código Categoria],0),MATCH(D$6,tbl_MovimentaçãoBancária_Categoria[#Headers],0))</f>
        <v>Investimento</v>
      </c>
      <c r="E15" s="22" cm="1">
        <f t="array" ref="E15">SUM(SUMIFS(tbl_MovimentaçãoCartão[Valor], tbl_MovimentaçãoCartão[Código Categoria],$C15,tbl_MovimentaçãoCartão[Código Cartão],E$4, tbl_MovimentaçãoCartão[Mês de Fechamento],FN_RetornarListaDatas(tbl_Painel_Datas[Data Início],tbl_Painel_Datas[Data Fim]))) * -1</f>
        <v>0</v>
      </c>
      <c r="I15" s="18">
        <v>9</v>
      </c>
      <c r="J15" s="19" t="str">
        <f>INDEX(tbl_MovimentaçãoBancária_Categoria[#Data],MATCH($C15,tbl_MovimentaçãoBancária_Categoria[Código Categoria],0),MATCH(J$6,tbl_MovimentaçãoBancária_Categoria[#Headers],0))</f>
        <v>Investimento</v>
      </c>
      <c r="K15" s="22" cm="1">
        <f t="array" ref="K15">SUM(SUMIFS(tbl_MovimentaçãoContaCorrente[Valor], tbl_MovimentaçãoContaCorrente[Código Categoria],$I15, tbl_MovimentaçãoContaCorrente[Data],FN_RetornarListaDatas(tbl_Painel_Datas[Data Início],tbl_Painel_Datas[Data Fim]), tbl_MovimentaçãoContaCorrente[Valor], K$3 &amp; 0, tbl_MovimentaçãoContaCorrente[Codigo Conta],K$2))</f>
        <v>0</v>
      </c>
      <c r="L15" s="22" cm="1">
        <f t="array" ref="L15">SUM(SUMIFS(tbl_MovimentaçãoContaCorrente[Valor], tbl_MovimentaçãoContaCorrente[Código Categoria],$I15, tbl_MovimentaçãoContaCorrente[Data],FN_RetornarListaDatas(tbl_Painel_Datas[Data Início],tbl_Painel_Datas[Data Fim]), tbl_MovimentaçãoContaCorrente[Valor], L$3 &amp; 0, tbl_MovimentaçãoContaCorrente[Codigo Conta],L$2))</f>
        <v>0</v>
      </c>
      <c r="M15" s="22" cm="1">
        <f t="array" ref="M15">SUM(SUMIFS(tbl_MovimentaçãoContaCorrente[Valor], tbl_MovimentaçãoContaCorrente[Código Categoria],$I15, tbl_MovimentaçãoContaCorrente[Data],FN_RetornarListaDatas(tbl_Painel_Datas[Data Início],tbl_Painel_Datas[Data Fim]), tbl_MovimentaçãoContaCorrente[Valor], M$3 &amp; 0, tbl_MovimentaçãoContaCorrente[Codigo Conta],M$2))</f>
        <v>0</v>
      </c>
      <c r="N15" s="22" cm="1">
        <f t="array" ref="N15">SUM(SUMIFS(tbl_MovimentaçãoContaCorrente[Valor], tbl_MovimentaçãoContaCorrente[Código Categoria],$I15, tbl_MovimentaçãoContaCorrente[Data],FN_RetornarListaDatas(tbl_Painel_Datas[Data Início],tbl_Painel_Datas[Data Fim]), tbl_MovimentaçãoContaCorrente[Valor], N$3 &amp; 0, tbl_MovimentaçãoContaCorrente[Codigo Conta],N$2))</f>
        <v>0</v>
      </c>
      <c r="O15" s="22" cm="1">
        <f t="array" ref="O15">SUM(SUMIFS(tbl_MovimentaçãoContaCorrente[Valor], tbl_MovimentaçãoContaCorrente[Código Categoria],$I15, tbl_MovimentaçãoContaCorrente[Data],FN_RetornarListaDatas(tbl_Painel_Datas[Data Início],tbl_Painel_Datas[Data Fim]), tbl_MovimentaçãoContaCorrente[Valor], O$3 &amp; 0, tbl_MovimentaçãoContaCorrente[Codigo Conta],O$2))</f>
        <v>0</v>
      </c>
      <c r="P15" s="22" cm="1">
        <f t="array" ref="P15">SUM(SUMIFS(tbl_MovimentaçãoContaCorrente[Valor], tbl_MovimentaçãoContaCorrente[Código Categoria],$I15, tbl_MovimentaçãoContaCorrente[Data],FN_RetornarListaDatas(tbl_Painel_Datas[Data Início],tbl_Painel_Datas[Data Fim]), tbl_MovimentaçãoContaCorrente[Valor], P$3 &amp; 0, tbl_MovimentaçãoContaCorrente[Codigo Conta],P$2))</f>
        <v>0</v>
      </c>
      <c r="Q15" s="22" cm="1">
        <f t="array" ref="Q15">SUM(SUMIFS(tbl_MovimentaçãoContaCorrente[Valor], tbl_MovimentaçãoContaCorrente[Código Categoria],$I15, tbl_MovimentaçãoContaCorrente[Data],FN_RetornarListaDatas(tbl_Painel_Datas[Data Início],tbl_Painel_Datas[Data Fim]), tbl_MovimentaçãoContaCorrente[Valor], Q$3 &amp; 0, tbl_MovimentaçãoContaCorrente[Codigo Conta],Q$2))</f>
        <v>0</v>
      </c>
      <c r="R15" s="22" cm="1">
        <f t="array" ref="R15">SUM(SUMIFS(tbl_MovimentaçãoContaCorrente[Valor], tbl_MovimentaçãoContaCorrente[Código Categoria],$I15,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16" spans="1:18" x14ac:dyDescent="0.25">
      <c r="C16" s="18">
        <v>10</v>
      </c>
      <c r="D16" s="19" t="str">
        <f>INDEX(tbl_MovimentaçãoBancária_Categoria[#Data],MATCH($C16,tbl_MovimentaçãoBancária_Categoria[Código Categoria],0),MATCH(D$6,tbl_MovimentaçãoBancária_Categoria[#Headers],0))</f>
        <v>Filantropia</v>
      </c>
      <c r="E16" s="22" cm="1">
        <f t="array" ref="E16">SUM(SUMIFS(tbl_MovimentaçãoCartão[Valor], tbl_MovimentaçãoCartão[Código Categoria],$C16,tbl_MovimentaçãoCartão[Código Cartão],E$4, tbl_MovimentaçãoCartão[Mês de Fechamento],FN_RetornarListaDatas(tbl_Painel_Datas[Data Início],tbl_Painel_Datas[Data Fim]))) * -1</f>
        <v>0</v>
      </c>
      <c r="I16" s="18">
        <v>10</v>
      </c>
      <c r="J16" s="19" t="str">
        <f>INDEX(tbl_MovimentaçãoBancária_Categoria[#Data],MATCH($C16,tbl_MovimentaçãoBancária_Categoria[Código Categoria],0),MATCH(J$6,tbl_MovimentaçãoBancária_Categoria[#Headers],0))</f>
        <v>Filantropia</v>
      </c>
      <c r="K16" s="22" cm="1">
        <f t="array" ref="K16">SUM(SUMIFS(tbl_MovimentaçãoContaCorrente[Valor], tbl_MovimentaçãoContaCorrente[Código Categoria],$I16, tbl_MovimentaçãoContaCorrente[Data],FN_RetornarListaDatas(tbl_Painel_Datas[Data Início],tbl_Painel_Datas[Data Fim]), tbl_MovimentaçãoContaCorrente[Valor], K$3 &amp; 0, tbl_MovimentaçãoContaCorrente[Codigo Conta],K$2))</f>
        <v>0</v>
      </c>
      <c r="L16" s="22" cm="1">
        <f t="array" ref="L16">SUM(SUMIFS(tbl_MovimentaçãoContaCorrente[Valor], tbl_MovimentaçãoContaCorrente[Código Categoria],$I16, tbl_MovimentaçãoContaCorrente[Data],FN_RetornarListaDatas(tbl_Painel_Datas[Data Início],tbl_Painel_Datas[Data Fim]), tbl_MovimentaçãoContaCorrente[Valor], L$3 &amp; 0, tbl_MovimentaçãoContaCorrente[Codigo Conta],L$2))</f>
        <v>0</v>
      </c>
      <c r="M16" s="22" cm="1">
        <f t="array" ref="M16">SUM(SUMIFS(tbl_MovimentaçãoContaCorrente[Valor], tbl_MovimentaçãoContaCorrente[Código Categoria],$I16, tbl_MovimentaçãoContaCorrente[Data],FN_RetornarListaDatas(tbl_Painel_Datas[Data Início],tbl_Painel_Datas[Data Fim]), tbl_MovimentaçãoContaCorrente[Valor], M$3 &amp; 0, tbl_MovimentaçãoContaCorrente[Codigo Conta],M$2))</f>
        <v>0</v>
      </c>
      <c r="N16" s="22" cm="1">
        <f t="array" ref="N16">SUM(SUMIFS(tbl_MovimentaçãoContaCorrente[Valor], tbl_MovimentaçãoContaCorrente[Código Categoria],$I16, tbl_MovimentaçãoContaCorrente[Data],FN_RetornarListaDatas(tbl_Painel_Datas[Data Início],tbl_Painel_Datas[Data Fim]), tbl_MovimentaçãoContaCorrente[Valor], N$3 &amp; 0, tbl_MovimentaçãoContaCorrente[Codigo Conta],N$2))</f>
        <v>0</v>
      </c>
      <c r="O16" s="22" cm="1">
        <f t="array" ref="O16">SUM(SUMIFS(tbl_MovimentaçãoContaCorrente[Valor], tbl_MovimentaçãoContaCorrente[Código Categoria],$I16, tbl_MovimentaçãoContaCorrente[Data],FN_RetornarListaDatas(tbl_Painel_Datas[Data Início],tbl_Painel_Datas[Data Fim]), tbl_MovimentaçãoContaCorrente[Valor], O$3 &amp; 0, tbl_MovimentaçãoContaCorrente[Codigo Conta],O$2))</f>
        <v>0</v>
      </c>
      <c r="P16" s="22" cm="1">
        <f t="array" ref="P16">SUM(SUMIFS(tbl_MovimentaçãoContaCorrente[Valor], tbl_MovimentaçãoContaCorrente[Código Categoria],$I16, tbl_MovimentaçãoContaCorrente[Data],FN_RetornarListaDatas(tbl_Painel_Datas[Data Início],tbl_Painel_Datas[Data Fim]), tbl_MovimentaçãoContaCorrente[Valor], P$3 &amp; 0, tbl_MovimentaçãoContaCorrente[Codigo Conta],P$2))</f>
        <v>0</v>
      </c>
      <c r="Q16" s="22" cm="1">
        <f t="array" ref="Q16">SUM(SUMIFS(tbl_MovimentaçãoContaCorrente[Valor], tbl_MovimentaçãoContaCorrente[Código Categoria],$I16, tbl_MovimentaçãoContaCorrente[Data],FN_RetornarListaDatas(tbl_Painel_Datas[Data Início],tbl_Painel_Datas[Data Fim]), tbl_MovimentaçãoContaCorrente[Valor], Q$3 &amp; 0, tbl_MovimentaçãoContaCorrente[Codigo Conta],Q$2))</f>
        <v>0</v>
      </c>
      <c r="R16" s="22" cm="1">
        <f t="array" ref="R16">SUM(SUMIFS(tbl_MovimentaçãoContaCorrente[Valor], tbl_MovimentaçãoContaCorrente[Código Categoria],$I16,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17" spans="3:18" x14ac:dyDescent="0.25">
      <c r="C17" s="18">
        <v>11</v>
      </c>
      <c r="D17" s="19" t="str">
        <f>INDEX(tbl_MovimentaçãoBancária_Categoria[#Data],MATCH($C17,tbl_MovimentaçãoBancária_Categoria[Código Categoria],0),MATCH(D$6,tbl_MovimentaçãoBancária_Categoria[#Headers],0))</f>
        <v>Movimentação Bancária</v>
      </c>
      <c r="E17" s="22" cm="1">
        <f t="array" ref="E17">SUM(SUMIFS(tbl_MovimentaçãoCartão[Valor], tbl_MovimentaçãoCartão[Código Categoria],$C17,tbl_MovimentaçãoCartão[Código Cartão],E$4, tbl_MovimentaçãoCartão[Mês de Fechamento],FN_RetornarListaDatas(tbl_Painel_Datas[Data Início],tbl_Painel_Datas[Data Fim]))) * -1</f>
        <v>0</v>
      </c>
      <c r="I17" s="18">
        <v>11</v>
      </c>
      <c r="J17" s="19" t="str">
        <f>INDEX(tbl_MovimentaçãoBancária_Categoria[#Data],MATCH($C17,tbl_MovimentaçãoBancária_Categoria[Código Categoria],0),MATCH(J$6,tbl_MovimentaçãoBancária_Categoria[#Headers],0))</f>
        <v>Movimentação Bancária</v>
      </c>
      <c r="K17" s="22" cm="1">
        <f t="array" ref="K17">SUM(SUMIFS(tbl_MovimentaçãoContaCorrente[Valor], tbl_MovimentaçãoContaCorrente[Código Categoria],$I17, tbl_MovimentaçãoContaCorrente[Data],FN_RetornarListaDatas(tbl_Painel_Datas[Data Início],tbl_Painel_Datas[Data Fim]), tbl_MovimentaçãoContaCorrente[Valor], K$3 &amp; 0, tbl_MovimentaçãoContaCorrente[Codigo Conta],K$2))</f>
        <v>0</v>
      </c>
      <c r="L17" s="22" cm="1">
        <f t="array" ref="L17">SUM(SUMIFS(tbl_MovimentaçãoContaCorrente[Valor], tbl_MovimentaçãoContaCorrente[Código Categoria],$I17, tbl_MovimentaçãoContaCorrente[Data],FN_RetornarListaDatas(tbl_Painel_Datas[Data Início],tbl_Painel_Datas[Data Fim]), tbl_MovimentaçãoContaCorrente[Valor], L$3 &amp; 0, tbl_MovimentaçãoContaCorrente[Codigo Conta],L$2))</f>
        <v>0</v>
      </c>
      <c r="M17" s="22" cm="1">
        <f t="array" ref="M17">SUM(SUMIFS(tbl_MovimentaçãoContaCorrente[Valor], tbl_MovimentaçãoContaCorrente[Código Categoria],$I17, tbl_MovimentaçãoContaCorrente[Data],FN_RetornarListaDatas(tbl_Painel_Datas[Data Início],tbl_Painel_Datas[Data Fim]), tbl_MovimentaçãoContaCorrente[Valor], M$3 &amp; 0, tbl_MovimentaçãoContaCorrente[Codigo Conta],M$2))</f>
        <v>0</v>
      </c>
      <c r="N17" s="22" cm="1">
        <f t="array" ref="N17">SUM(SUMIFS(tbl_MovimentaçãoContaCorrente[Valor], tbl_MovimentaçãoContaCorrente[Código Categoria],$I17, tbl_MovimentaçãoContaCorrente[Data],FN_RetornarListaDatas(tbl_Painel_Datas[Data Início],tbl_Painel_Datas[Data Fim]), tbl_MovimentaçãoContaCorrente[Valor], N$3 &amp; 0, tbl_MovimentaçãoContaCorrente[Codigo Conta],N$2))</f>
        <v>0</v>
      </c>
      <c r="O17" s="22" cm="1">
        <f t="array" ref="O17">SUM(SUMIFS(tbl_MovimentaçãoContaCorrente[Valor], tbl_MovimentaçãoContaCorrente[Código Categoria],$I17, tbl_MovimentaçãoContaCorrente[Data],FN_RetornarListaDatas(tbl_Painel_Datas[Data Início],tbl_Painel_Datas[Data Fim]), tbl_MovimentaçãoContaCorrente[Valor], O$3 &amp; 0, tbl_MovimentaçãoContaCorrente[Codigo Conta],O$2))</f>
        <v>0</v>
      </c>
      <c r="P17" s="22" cm="1">
        <f t="array" ref="P17">SUM(SUMIFS(tbl_MovimentaçãoContaCorrente[Valor], tbl_MovimentaçãoContaCorrente[Código Categoria],$I17, tbl_MovimentaçãoContaCorrente[Data],FN_RetornarListaDatas(tbl_Painel_Datas[Data Início],tbl_Painel_Datas[Data Fim]), tbl_MovimentaçãoContaCorrente[Valor], P$3 &amp; 0, tbl_MovimentaçãoContaCorrente[Codigo Conta],P$2))</f>
        <v>0</v>
      </c>
      <c r="Q17" s="22" cm="1">
        <f t="array" ref="Q17">SUM(SUMIFS(tbl_MovimentaçãoContaCorrente[Valor], tbl_MovimentaçãoContaCorrente[Código Categoria],$I17, tbl_MovimentaçãoContaCorrente[Data],FN_RetornarListaDatas(tbl_Painel_Datas[Data Início],tbl_Painel_Datas[Data Fim]), tbl_MovimentaçãoContaCorrente[Valor], Q$3 &amp; 0, tbl_MovimentaçãoContaCorrente[Codigo Conta],Q$2))</f>
        <v>0</v>
      </c>
      <c r="R17" s="22" cm="1">
        <f t="array" ref="R17">SUM(SUMIFS(tbl_MovimentaçãoContaCorrente[Valor], tbl_MovimentaçãoContaCorrente[Código Categoria],$I17,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18" spans="3:18" x14ac:dyDescent="0.25">
      <c r="C18" s="18">
        <v>12</v>
      </c>
      <c r="D18" s="19" t="str">
        <f>INDEX(tbl_MovimentaçãoBancária_Categoria[#Data],MATCH($C18,tbl_MovimentaçãoBancária_Categoria[Código Categoria],0),MATCH(D$6,tbl_MovimentaçãoBancária_Categoria[#Headers],0))</f>
        <v>Rendimento</v>
      </c>
      <c r="E18" s="22" cm="1">
        <f t="array" ref="E18">SUM(SUMIFS(tbl_MovimentaçãoCartão[Valor], tbl_MovimentaçãoCartão[Código Categoria],$C18,tbl_MovimentaçãoCartão[Código Cartão],E$4, tbl_MovimentaçãoCartão[Mês de Fechamento],FN_RetornarListaDatas(tbl_Painel_Datas[Data Início],tbl_Painel_Datas[Data Fim]))) * -1</f>
        <v>0</v>
      </c>
      <c r="I18" s="18">
        <v>12</v>
      </c>
      <c r="J18" s="19" t="str">
        <f>INDEX(tbl_MovimentaçãoBancária_Categoria[#Data],MATCH($C18,tbl_MovimentaçãoBancária_Categoria[Código Categoria],0),MATCH(J$6,tbl_MovimentaçãoBancária_Categoria[#Headers],0))</f>
        <v>Rendimento</v>
      </c>
      <c r="K18" s="22" cm="1">
        <f t="array" ref="K18">SUM(SUMIFS(tbl_MovimentaçãoContaCorrente[Valor], tbl_MovimentaçãoContaCorrente[Código Categoria],$I18, tbl_MovimentaçãoContaCorrente[Data],FN_RetornarListaDatas(tbl_Painel_Datas[Data Início],tbl_Painel_Datas[Data Fim]), tbl_MovimentaçãoContaCorrente[Valor], K$3 &amp; 0, tbl_MovimentaçãoContaCorrente[Codigo Conta],K$2))</f>
        <v>0</v>
      </c>
      <c r="L18" s="22" cm="1">
        <f t="array" ref="L18">SUM(SUMIFS(tbl_MovimentaçãoContaCorrente[Valor], tbl_MovimentaçãoContaCorrente[Código Categoria],$I18, tbl_MovimentaçãoContaCorrente[Data],FN_RetornarListaDatas(tbl_Painel_Datas[Data Início],tbl_Painel_Datas[Data Fim]), tbl_MovimentaçãoContaCorrente[Valor], L$3 &amp; 0, tbl_MovimentaçãoContaCorrente[Codigo Conta],L$2))</f>
        <v>0</v>
      </c>
      <c r="M18" s="22" cm="1">
        <f t="array" ref="M18">SUM(SUMIFS(tbl_MovimentaçãoContaCorrente[Valor], tbl_MovimentaçãoContaCorrente[Código Categoria],$I18, tbl_MovimentaçãoContaCorrente[Data],FN_RetornarListaDatas(tbl_Painel_Datas[Data Início],tbl_Painel_Datas[Data Fim]), tbl_MovimentaçãoContaCorrente[Valor], M$3 &amp; 0, tbl_MovimentaçãoContaCorrente[Codigo Conta],M$2))</f>
        <v>0</v>
      </c>
      <c r="N18" s="22" cm="1">
        <f t="array" ref="N18">SUM(SUMIFS(tbl_MovimentaçãoContaCorrente[Valor], tbl_MovimentaçãoContaCorrente[Código Categoria],$I18, tbl_MovimentaçãoContaCorrente[Data],FN_RetornarListaDatas(tbl_Painel_Datas[Data Início],tbl_Painel_Datas[Data Fim]), tbl_MovimentaçãoContaCorrente[Valor], N$3 &amp; 0, tbl_MovimentaçãoContaCorrente[Codigo Conta],N$2))</f>
        <v>0</v>
      </c>
      <c r="O18" s="22" cm="1">
        <f t="array" ref="O18">SUM(SUMIFS(tbl_MovimentaçãoContaCorrente[Valor], tbl_MovimentaçãoContaCorrente[Código Categoria],$I18, tbl_MovimentaçãoContaCorrente[Data],FN_RetornarListaDatas(tbl_Painel_Datas[Data Início],tbl_Painel_Datas[Data Fim]), tbl_MovimentaçãoContaCorrente[Valor], O$3 &amp; 0, tbl_MovimentaçãoContaCorrente[Codigo Conta],O$2))</f>
        <v>0</v>
      </c>
      <c r="P18" s="22" cm="1">
        <f t="array" ref="P18">SUM(SUMIFS(tbl_MovimentaçãoContaCorrente[Valor], tbl_MovimentaçãoContaCorrente[Código Categoria],$I18, tbl_MovimentaçãoContaCorrente[Data],FN_RetornarListaDatas(tbl_Painel_Datas[Data Início],tbl_Painel_Datas[Data Fim]), tbl_MovimentaçãoContaCorrente[Valor], P$3 &amp; 0, tbl_MovimentaçãoContaCorrente[Codigo Conta],P$2))</f>
        <v>0</v>
      </c>
      <c r="Q18" s="22" cm="1">
        <f t="array" ref="Q18">SUM(SUMIFS(tbl_MovimentaçãoContaCorrente[Valor], tbl_MovimentaçãoContaCorrente[Código Categoria],$I18, tbl_MovimentaçãoContaCorrente[Data],FN_RetornarListaDatas(tbl_Painel_Datas[Data Início],tbl_Painel_Datas[Data Fim]), tbl_MovimentaçãoContaCorrente[Valor], Q$3 &amp; 0, tbl_MovimentaçãoContaCorrente[Codigo Conta],Q$2))</f>
        <v>0</v>
      </c>
      <c r="R18" s="22" cm="1">
        <f t="array" ref="R18">SUM(SUMIFS(tbl_MovimentaçãoContaCorrente[Valor], tbl_MovimentaçãoContaCorrente[Código Categoria],$I18,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19" spans="3:18" x14ac:dyDescent="0.25">
      <c r="C19" s="18">
        <v>13</v>
      </c>
      <c r="D19" s="19" t="str">
        <f>INDEX(tbl_MovimentaçãoBancária_Categoria[#Data],MATCH($C19,tbl_MovimentaçãoBancária_Categoria[Código Categoria],0),MATCH(D$6,tbl_MovimentaçãoBancária_Categoria[#Headers],0))</f>
        <v>Outros</v>
      </c>
      <c r="E19" s="22" cm="1">
        <f t="array" ref="E19">SUM(SUMIFS(tbl_MovimentaçãoCartão[Valor], tbl_MovimentaçãoCartão[Código Categoria],$C19,tbl_MovimentaçãoCartão[Código Cartão],E$4, tbl_MovimentaçãoCartão[Mês de Fechamento],FN_RetornarListaDatas(tbl_Painel_Datas[Data Início],tbl_Painel_Datas[Data Fim]))) * -1</f>
        <v>0</v>
      </c>
      <c r="I19" s="18">
        <v>13</v>
      </c>
      <c r="J19" s="19" t="str">
        <f>INDEX(tbl_MovimentaçãoBancária_Categoria[#Data],MATCH($C19,tbl_MovimentaçãoBancária_Categoria[Código Categoria],0),MATCH(J$6,tbl_MovimentaçãoBancária_Categoria[#Headers],0))</f>
        <v>Outros</v>
      </c>
      <c r="K19" s="22" cm="1">
        <f t="array" ref="K19">SUM(SUMIFS(tbl_MovimentaçãoContaCorrente[Valor], tbl_MovimentaçãoContaCorrente[Código Categoria],$I19, tbl_MovimentaçãoContaCorrente[Data],FN_RetornarListaDatas(tbl_Painel_Datas[Data Início],tbl_Painel_Datas[Data Fim]), tbl_MovimentaçãoContaCorrente[Valor], K$3 &amp; 0, tbl_MovimentaçãoContaCorrente[Codigo Conta],K$2))</f>
        <v>0</v>
      </c>
      <c r="L19" s="22" cm="1">
        <f t="array" ref="L19">SUM(SUMIFS(tbl_MovimentaçãoContaCorrente[Valor], tbl_MovimentaçãoContaCorrente[Código Categoria],$I19, tbl_MovimentaçãoContaCorrente[Data],FN_RetornarListaDatas(tbl_Painel_Datas[Data Início],tbl_Painel_Datas[Data Fim]), tbl_MovimentaçãoContaCorrente[Valor], L$3 &amp; 0, tbl_MovimentaçãoContaCorrente[Codigo Conta],L$2))</f>
        <v>0</v>
      </c>
      <c r="M19" s="22" cm="1">
        <f t="array" ref="M19">SUM(SUMIFS(tbl_MovimentaçãoContaCorrente[Valor], tbl_MovimentaçãoContaCorrente[Código Categoria],$I19, tbl_MovimentaçãoContaCorrente[Data],FN_RetornarListaDatas(tbl_Painel_Datas[Data Início],tbl_Painel_Datas[Data Fim]), tbl_MovimentaçãoContaCorrente[Valor], M$3 &amp; 0, tbl_MovimentaçãoContaCorrente[Codigo Conta],M$2))</f>
        <v>0</v>
      </c>
      <c r="N19" s="22" cm="1">
        <f t="array" ref="N19">SUM(SUMIFS(tbl_MovimentaçãoContaCorrente[Valor], tbl_MovimentaçãoContaCorrente[Código Categoria],$I19, tbl_MovimentaçãoContaCorrente[Data],FN_RetornarListaDatas(tbl_Painel_Datas[Data Início],tbl_Painel_Datas[Data Fim]), tbl_MovimentaçãoContaCorrente[Valor], N$3 &amp; 0, tbl_MovimentaçãoContaCorrente[Codigo Conta],N$2))</f>
        <v>0</v>
      </c>
      <c r="O19" s="22" cm="1">
        <f t="array" ref="O19">SUM(SUMIFS(tbl_MovimentaçãoContaCorrente[Valor], tbl_MovimentaçãoContaCorrente[Código Categoria],$I19, tbl_MovimentaçãoContaCorrente[Data],FN_RetornarListaDatas(tbl_Painel_Datas[Data Início],tbl_Painel_Datas[Data Fim]), tbl_MovimentaçãoContaCorrente[Valor], O$3 &amp; 0, tbl_MovimentaçãoContaCorrente[Codigo Conta],O$2))</f>
        <v>0</v>
      </c>
      <c r="P19" s="22" cm="1">
        <f t="array" ref="P19">SUM(SUMIFS(tbl_MovimentaçãoContaCorrente[Valor], tbl_MovimentaçãoContaCorrente[Código Categoria],$I19, tbl_MovimentaçãoContaCorrente[Data],FN_RetornarListaDatas(tbl_Painel_Datas[Data Início],tbl_Painel_Datas[Data Fim]), tbl_MovimentaçãoContaCorrente[Valor], P$3 &amp; 0, tbl_MovimentaçãoContaCorrente[Codigo Conta],P$2))</f>
        <v>0</v>
      </c>
      <c r="Q19" s="22" cm="1">
        <f t="array" ref="Q19">SUM(SUMIFS(tbl_MovimentaçãoContaCorrente[Valor], tbl_MovimentaçãoContaCorrente[Código Categoria],$I19, tbl_MovimentaçãoContaCorrente[Data],FN_RetornarListaDatas(tbl_Painel_Datas[Data Início],tbl_Painel_Datas[Data Fim]), tbl_MovimentaçãoContaCorrente[Valor], Q$3 &amp; 0, tbl_MovimentaçãoContaCorrente[Codigo Conta],Q$2))</f>
        <v>0</v>
      </c>
      <c r="R19" s="22" cm="1">
        <f t="array" ref="R19">SUM(SUMIFS(tbl_MovimentaçãoContaCorrente[Valor], tbl_MovimentaçãoContaCorrente[Código Categoria],$I19,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20" spans="3:18" x14ac:dyDescent="0.25">
      <c r="C20" s="18">
        <v>14</v>
      </c>
      <c r="D20" s="19" t="str">
        <f>INDEX(tbl_MovimentaçãoBancária_Categoria[#Data],MATCH($C20,tbl_MovimentaçãoBancária_Categoria[Código Categoria],0),MATCH(D$6,tbl_MovimentaçãoBancária_Categoria[#Headers],0))</f>
        <v>Tarifas e Impostos</v>
      </c>
      <c r="E20" s="22" cm="1">
        <f t="array" ref="E20">SUM(SUMIFS(tbl_MovimentaçãoCartão[Valor], tbl_MovimentaçãoCartão[Código Categoria],$C20,tbl_MovimentaçãoCartão[Código Cartão],E$4, tbl_MovimentaçãoCartão[Mês de Fechamento],FN_RetornarListaDatas(tbl_Painel_Datas[Data Início],tbl_Painel_Datas[Data Fim]))) * -1</f>
        <v>0</v>
      </c>
      <c r="I20" s="18">
        <v>14</v>
      </c>
      <c r="J20" s="19" t="str">
        <f>INDEX(tbl_MovimentaçãoBancária_Categoria[#Data],MATCH($C20,tbl_MovimentaçãoBancária_Categoria[Código Categoria],0),MATCH(J$6,tbl_MovimentaçãoBancária_Categoria[#Headers],0))</f>
        <v>Tarifas e Impostos</v>
      </c>
      <c r="K20" s="22" cm="1">
        <f t="array" ref="K20">SUM(SUMIFS(tbl_MovimentaçãoContaCorrente[Valor], tbl_MovimentaçãoContaCorrente[Código Categoria],$I20, tbl_MovimentaçãoContaCorrente[Data],FN_RetornarListaDatas(tbl_Painel_Datas[Data Início],tbl_Painel_Datas[Data Fim]), tbl_MovimentaçãoContaCorrente[Valor], K$3 &amp; 0, tbl_MovimentaçãoContaCorrente[Codigo Conta],K$2))</f>
        <v>0</v>
      </c>
      <c r="L20" s="22" cm="1">
        <f t="array" ref="L20">SUM(SUMIFS(tbl_MovimentaçãoContaCorrente[Valor], tbl_MovimentaçãoContaCorrente[Código Categoria],$I20, tbl_MovimentaçãoContaCorrente[Data],FN_RetornarListaDatas(tbl_Painel_Datas[Data Início],tbl_Painel_Datas[Data Fim]), tbl_MovimentaçãoContaCorrente[Valor], L$3 &amp; 0, tbl_MovimentaçãoContaCorrente[Codigo Conta],L$2))</f>
        <v>0</v>
      </c>
      <c r="M20" s="22" cm="1">
        <f t="array" ref="M20">SUM(SUMIFS(tbl_MovimentaçãoContaCorrente[Valor], tbl_MovimentaçãoContaCorrente[Código Categoria],$I20, tbl_MovimentaçãoContaCorrente[Data],FN_RetornarListaDatas(tbl_Painel_Datas[Data Início],tbl_Painel_Datas[Data Fim]), tbl_MovimentaçãoContaCorrente[Valor], M$3 &amp; 0, tbl_MovimentaçãoContaCorrente[Codigo Conta],M$2))</f>
        <v>0</v>
      </c>
      <c r="N20" s="22" cm="1">
        <f t="array" ref="N20">SUM(SUMIFS(tbl_MovimentaçãoContaCorrente[Valor], tbl_MovimentaçãoContaCorrente[Código Categoria],$I20, tbl_MovimentaçãoContaCorrente[Data],FN_RetornarListaDatas(tbl_Painel_Datas[Data Início],tbl_Painel_Datas[Data Fim]), tbl_MovimentaçãoContaCorrente[Valor], N$3 &amp; 0, tbl_MovimentaçãoContaCorrente[Codigo Conta],N$2))</f>
        <v>0</v>
      </c>
      <c r="O20" s="22" cm="1">
        <f t="array" ref="O20">SUM(SUMIFS(tbl_MovimentaçãoContaCorrente[Valor], tbl_MovimentaçãoContaCorrente[Código Categoria],$I20, tbl_MovimentaçãoContaCorrente[Data],FN_RetornarListaDatas(tbl_Painel_Datas[Data Início],tbl_Painel_Datas[Data Fim]), tbl_MovimentaçãoContaCorrente[Valor], O$3 &amp; 0, tbl_MovimentaçãoContaCorrente[Codigo Conta],O$2))</f>
        <v>0</v>
      </c>
      <c r="P20" s="22" cm="1">
        <f t="array" ref="P20">SUM(SUMIFS(tbl_MovimentaçãoContaCorrente[Valor], tbl_MovimentaçãoContaCorrente[Código Categoria],$I20, tbl_MovimentaçãoContaCorrente[Data],FN_RetornarListaDatas(tbl_Painel_Datas[Data Início],tbl_Painel_Datas[Data Fim]), tbl_MovimentaçãoContaCorrente[Valor], P$3 &amp; 0, tbl_MovimentaçãoContaCorrente[Codigo Conta],P$2))</f>
        <v>0</v>
      </c>
      <c r="Q20" s="22" cm="1">
        <f t="array" ref="Q20">SUM(SUMIFS(tbl_MovimentaçãoContaCorrente[Valor], tbl_MovimentaçãoContaCorrente[Código Categoria],$I20, tbl_MovimentaçãoContaCorrente[Data],FN_RetornarListaDatas(tbl_Painel_Datas[Data Início],tbl_Painel_Datas[Data Fim]), tbl_MovimentaçãoContaCorrente[Valor], Q$3 &amp; 0, tbl_MovimentaçãoContaCorrente[Codigo Conta],Q$2))</f>
        <v>0</v>
      </c>
      <c r="R20" s="22" cm="1">
        <f t="array" ref="R20">SUM(SUMIFS(tbl_MovimentaçãoContaCorrente[Valor], tbl_MovimentaçãoContaCorrente[Código Categoria],$I20, tbl_MovimentaçãoContaCorrente[Data],FN_RetornarListaDatas(tbl_Painel_Datas[Data Início],tbl_Painel_Datas[Data Fim]), tbl_MovimentaçãoContaCorrente[Valor], R$3 &amp; 0, tbl_MovimentaçãoContaCorrente[Codigo Conta],R$2))</f>
        <v>0</v>
      </c>
    </row>
    <row r="21" spans="3:18" x14ac:dyDescent="0.25">
      <c r="E21" s="11"/>
      <c r="I21" s="20"/>
      <c r="J21" s="21"/>
      <c r="K21" s="24"/>
      <c r="L21" s="24"/>
      <c r="M21" s="24"/>
      <c r="N21" s="24"/>
      <c r="O21" s="24"/>
      <c r="P21" s="24"/>
      <c r="Q21" s="24"/>
      <c r="R21" s="24"/>
    </row>
    <row r="22" spans="3:18" x14ac:dyDescent="0.25">
      <c r="D22" s="17" t="s">
        <v>50</v>
      </c>
      <c r="E22" s="23">
        <f>SUM(E7:E20)</f>
        <v>0</v>
      </c>
      <c r="I22" s="20"/>
      <c r="J22" s="17" t="s">
        <v>50</v>
      </c>
      <c r="K22" s="23">
        <f t="shared" ref="K22:R22" si="0">SUM(K7:K20)</f>
        <v>0</v>
      </c>
      <c r="L22" s="23">
        <f t="shared" si="0"/>
        <v>0</v>
      </c>
      <c r="M22" s="23">
        <f t="shared" si="0"/>
        <v>0</v>
      </c>
      <c r="N22" s="23">
        <f t="shared" si="0"/>
        <v>0</v>
      </c>
      <c r="O22" s="23">
        <f t="shared" si="0"/>
        <v>0</v>
      </c>
      <c r="P22" s="23">
        <f t="shared" si="0"/>
        <v>0</v>
      </c>
      <c r="Q22" s="23">
        <f t="shared" si="0"/>
        <v>0</v>
      </c>
      <c r="R22" s="23">
        <f t="shared" si="0"/>
        <v>0</v>
      </c>
    </row>
    <row r="23" spans="3:18" x14ac:dyDescent="0.25">
      <c r="I23" s="20"/>
      <c r="J23" s="20"/>
      <c r="K23" s="25"/>
      <c r="L23" s="25"/>
      <c r="M23" s="25"/>
      <c r="N23" s="25"/>
      <c r="O23" s="25"/>
      <c r="P23" s="25"/>
      <c r="Q23" s="25"/>
      <c r="R23" s="25"/>
    </row>
    <row r="24" spans="3:18" x14ac:dyDescent="0.25">
      <c r="I24" s="20"/>
      <c r="J24" s="17" t="s">
        <v>130</v>
      </c>
      <c r="K24" s="23">
        <f>SUM(K22:R22)</f>
        <v>0</v>
      </c>
      <c r="L24" s="25"/>
      <c r="M24" s="25"/>
      <c r="N24" s="25"/>
      <c r="O24" s="25"/>
      <c r="P24" s="25"/>
      <c r="Q24" s="25"/>
      <c r="R24" s="25"/>
    </row>
  </sheetData>
  <mergeCells count="8">
    <mergeCell ref="Q4:R4"/>
    <mergeCell ref="O5:P5"/>
    <mergeCell ref="Q5:R5"/>
    <mergeCell ref="K5:L5"/>
    <mergeCell ref="K4:L4"/>
    <mergeCell ref="M4:N4"/>
    <mergeCell ref="M5:N5"/>
    <mergeCell ref="O4:P4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8BA29-C0C6-4D78-B7F0-F03808E99A15}">
  <sheetPr codeName="Planilha6"/>
  <dimension ref="B1:AB3"/>
  <sheetViews>
    <sheetView workbookViewId="0">
      <selection activeCell="J15" sqref="J15"/>
    </sheetView>
  </sheetViews>
  <sheetFormatPr defaultRowHeight="15" x14ac:dyDescent="0.25"/>
  <cols>
    <col min="2" max="2" width="10.7109375" bestFit="1" customWidth="1"/>
    <col min="3" max="3" width="15.7109375" bestFit="1" customWidth="1"/>
    <col min="4" max="4" width="9" bestFit="1" customWidth="1"/>
    <col min="5" max="5" width="8.5703125" bestFit="1" customWidth="1"/>
    <col min="6" max="6" width="10.28515625" bestFit="1" customWidth="1"/>
    <col min="7" max="7" width="16.85546875" bestFit="1" customWidth="1"/>
    <col min="8" max="8" width="23.140625" bestFit="1" customWidth="1"/>
    <col min="9" max="9" width="23" bestFit="1" customWidth="1"/>
    <col min="10" max="10" width="9.28515625" bestFit="1" customWidth="1"/>
    <col min="11" max="11" width="9.85546875" bestFit="1" customWidth="1"/>
    <col min="12" max="12" width="9.85546875" customWidth="1"/>
    <col min="15" max="15" width="10.7109375" bestFit="1" customWidth="1"/>
    <col min="16" max="16" width="9.42578125" bestFit="1" customWidth="1"/>
    <col min="17" max="17" width="9.5703125" bestFit="1" customWidth="1"/>
    <col min="18" max="18" width="18.5703125" bestFit="1" customWidth="1"/>
    <col min="19" max="19" width="18.5703125" customWidth="1"/>
    <col min="20" max="20" width="11.7109375" bestFit="1" customWidth="1"/>
    <col min="21" max="21" width="27.5703125" bestFit="1" customWidth="1"/>
    <col min="22" max="22" width="27.5703125" customWidth="1"/>
    <col min="23" max="23" width="15.42578125" customWidth="1"/>
    <col min="24" max="24" width="11.28515625" bestFit="1" customWidth="1"/>
    <col min="25" max="25" width="23.140625" bestFit="1" customWidth="1"/>
    <col min="26" max="26" width="21.5703125" bestFit="1" customWidth="1"/>
  </cols>
  <sheetData>
    <row r="1" spans="2:28" x14ac:dyDescent="0.25">
      <c r="B1" s="29" t="s">
        <v>152</v>
      </c>
      <c r="C1" s="29"/>
      <c r="D1" s="29"/>
      <c r="E1" s="29"/>
      <c r="F1" s="29"/>
      <c r="G1" s="29"/>
      <c r="H1" s="29"/>
      <c r="I1" s="29"/>
      <c r="J1" s="29"/>
      <c r="K1" s="29"/>
      <c r="O1" s="29" t="s">
        <v>153</v>
      </c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2:28" x14ac:dyDescent="0.25">
      <c r="B2" t="s">
        <v>42</v>
      </c>
      <c r="C2" t="s">
        <v>96</v>
      </c>
      <c r="D2" t="s">
        <v>82</v>
      </c>
      <c r="E2" t="s">
        <v>83</v>
      </c>
      <c r="F2" t="s">
        <v>85</v>
      </c>
      <c r="G2" t="s">
        <v>86</v>
      </c>
      <c r="H2" t="s">
        <v>87</v>
      </c>
      <c r="I2" t="s">
        <v>88</v>
      </c>
      <c r="J2" t="s">
        <v>89</v>
      </c>
      <c r="K2" t="s">
        <v>90</v>
      </c>
      <c r="O2" t="s">
        <v>42</v>
      </c>
      <c r="P2" t="s">
        <v>48</v>
      </c>
      <c r="Q2" t="s">
        <v>93</v>
      </c>
      <c r="R2" s="36" t="s">
        <v>105</v>
      </c>
      <c r="S2" t="s">
        <v>109</v>
      </c>
      <c r="T2" s="36" t="s">
        <v>94</v>
      </c>
      <c r="U2" t="s">
        <v>95</v>
      </c>
      <c r="V2" t="s">
        <v>121</v>
      </c>
      <c r="W2" t="s">
        <v>96</v>
      </c>
      <c r="X2" s="36" t="s">
        <v>82</v>
      </c>
      <c r="Y2" s="36" t="s">
        <v>87</v>
      </c>
      <c r="Z2" s="36" t="s">
        <v>120</v>
      </c>
      <c r="AB2" s="14"/>
    </row>
    <row r="3" spans="2:28" x14ac:dyDescent="0.25">
      <c r="B3" s="1">
        <v>44202</v>
      </c>
      <c r="C3" s="3">
        <v>1</v>
      </c>
      <c r="D3" t="s">
        <v>58</v>
      </c>
      <c r="E3" t="s">
        <v>58</v>
      </c>
      <c r="F3">
        <v>1</v>
      </c>
      <c r="G3">
        <v>1234</v>
      </c>
      <c r="H3">
        <v>18</v>
      </c>
      <c r="I3">
        <v>25</v>
      </c>
      <c r="J3" t="s">
        <v>91</v>
      </c>
      <c r="K3" t="s">
        <v>92</v>
      </c>
      <c r="O3" s="1"/>
      <c r="P3" s="4"/>
      <c r="R3" s="1">
        <f>IF(tbl_MovimentaçãoCartão[[#This Row],[Função]] = "Crédito",tbl_MovimentaçãoCartão[[#This Row],[Data]], 0)</f>
        <v>0</v>
      </c>
      <c r="S3" s="3"/>
      <c r="T3" t="e">
        <f>INDEX(tbl_MovimentaçãoBancária_Categoria[#Data],MATCH(tbl_MovimentaçãoCartão[[#This Row],[Código Categoria]], tbl_MovimentaçãoBancária_Categoria[Código Categoria],0),MATCH(tbl_MovimentaçãoCartão[[#Headers],[Categoria]], tbl_MovimentaçãoBancária_Categoria[#Headers],0))</f>
        <v>#N/A</v>
      </c>
      <c r="X3" s="7" t="e">
        <f>INDEX(tbl_Cartões[], MATCH(tbl_MovimentaçãoCartão[[#This Row],[Código Cartão]], tbl_Cartões[Código Cartão],0), MATCH(tbl_MovimentaçãoCartão[[#Headers],[Cartão]], tbl_Cartões[#Headers],0))</f>
        <v>#N/A</v>
      </c>
      <c r="Y3" s="13" t="e">
        <f>INDEX(tbl_Cartões[#Data],MATCH(tbl_MovimentaçãoCartão[[#This Row],[Código Cartão]],tbl_Cartões[Código Cartão],0),MATCH(tbl_MovimentaçãoCartão[[#Headers],[Fechamento da Fatura]],tbl_Cartões[#Headers],0))</f>
        <v>#N/A</v>
      </c>
      <c r="Z3" s="1" t="e">
        <f>IF(DAY(tbl_MovimentaçãoCartão[[#This Row],[Data da Cobrança]]) &gt;=tbl_MovimentaçãoCartão[[#This Row],[Fechamento da Fatura]], "01/" &amp; TEXT(EDATE(tbl_MovimentaçãoCartão[[#This Row],[Data da Cobrança]], 1), "mm/aaaa"), "01/" &amp; TEXT(tbl_MovimentaçãoCartão[[#This Row],[Data da Cobrança]], "mm/aaaa"))</f>
        <v>#N/A</v>
      </c>
    </row>
  </sheetData>
  <mergeCells count="2">
    <mergeCell ref="B1:K1"/>
    <mergeCell ref="O1:Z1"/>
  </mergeCell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619E0-CFB7-48EC-80DB-71C6A3F7428B}">
  <sheetPr codeName="Planilha5"/>
  <dimension ref="C2:X17"/>
  <sheetViews>
    <sheetView topLeftCell="B1" workbookViewId="0">
      <selection activeCell="D36" sqref="D36"/>
    </sheetView>
  </sheetViews>
  <sheetFormatPr defaultRowHeight="15" x14ac:dyDescent="0.25"/>
  <cols>
    <col min="3" max="3" width="10.7109375" bestFit="1" customWidth="1"/>
    <col min="4" max="4" width="18.42578125" bestFit="1" customWidth="1"/>
    <col min="5" max="5" width="20.28515625" bestFit="1" customWidth="1"/>
    <col min="6" max="7" width="22.42578125" bestFit="1" customWidth="1"/>
    <col min="8" max="8" width="22.42578125" customWidth="1"/>
    <col min="9" max="9" width="15" bestFit="1" customWidth="1"/>
    <col min="10" max="10" width="20" bestFit="1" customWidth="1"/>
    <col min="11" max="12" width="20" customWidth="1"/>
    <col min="15" max="15" width="14.85546875" customWidth="1"/>
    <col min="16" max="16" width="14.140625" customWidth="1"/>
    <col min="17" max="17" width="8.42578125" customWidth="1"/>
    <col min="20" max="20" width="18.140625" customWidth="1"/>
    <col min="21" max="21" width="22.42578125" bestFit="1" customWidth="1"/>
    <col min="23" max="23" width="12.42578125" customWidth="1"/>
    <col min="24" max="24" width="20" bestFit="1" customWidth="1"/>
  </cols>
  <sheetData>
    <row r="2" spans="3:24" x14ac:dyDescent="0.25">
      <c r="C2" s="29" t="s">
        <v>148</v>
      </c>
      <c r="D2" s="29"/>
      <c r="E2" s="29"/>
      <c r="F2" s="29"/>
      <c r="G2" s="29"/>
      <c r="H2" s="29"/>
      <c r="I2" s="29"/>
      <c r="J2" s="29"/>
      <c r="K2" s="29"/>
      <c r="L2" s="29"/>
      <c r="O2" s="29" t="s">
        <v>149</v>
      </c>
      <c r="P2" s="29"/>
      <c r="Q2" s="29"/>
      <c r="T2" s="29" t="s">
        <v>150</v>
      </c>
      <c r="U2" s="29"/>
      <c r="W2" s="29" t="s">
        <v>151</v>
      </c>
      <c r="X2" s="29"/>
    </row>
    <row r="3" spans="3:24" x14ac:dyDescent="0.25">
      <c r="C3" t="s">
        <v>42</v>
      </c>
      <c r="D3" t="s">
        <v>48</v>
      </c>
      <c r="E3" t="s">
        <v>109</v>
      </c>
      <c r="F3" s="36" t="s">
        <v>94</v>
      </c>
      <c r="G3" t="s">
        <v>95</v>
      </c>
      <c r="H3" t="s">
        <v>121</v>
      </c>
      <c r="I3" t="s">
        <v>107</v>
      </c>
      <c r="J3" s="36" t="s">
        <v>106</v>
      </c>
      <c r="K3" t="s">
        <v>119</v>
      </c>
      <c r="L3" s="36" t="s">
        <v>110</v>
      </c>
      <c r="O3" t="s">
        <v>107</v>
      </c>
      <c r="P3" t="s">
        <v>106</v>
      </c>
      <c r="Q3" t="s">
        <v>83</v>
      </c>
      <c r="T3" t="s">
        <v>109</v>
      </c>
      <c r="U3" t="s">
        <v>94</v>
      </c>
      <c r="W3" t="s">
        <v>119</v>
      </c>
      <c r="X3" t="s">
        <v>110</v>
      </c>
    </row>
    <row r="4" spans="3:24" x14ac:dyDescent="0.25">
      <c r="C4" s="1"/>
      <c r="D4" s="4"/>
      <c r="F4" t="e">
        <f>INDEX(tbl_MovimentaçãoBancária_Categoria[#Data],MATCH(tbl_MovimentaçãoContaCorrente[[#This Row],[Código Categoria]], tbl_MovimentaçãoBancária_Categoria[Código Categoria],0),MATCH(tbl_MovimentaçãoContaCorrente[[#Headers],[Categoria]],tbl_MovimentaçãoBancária_Categoria[#Headers],0))</f>
        <v>#N/A</v>
      </c>
      <c r="J4" s="13" t="e">
        <f>INDEX(tbl_Bancos[#Data],MATCH(tbl_MovimentaçãoContaCorrente[[#This Row],[Codigo Conta]],tbl_Bancos[Codigo Conta],0),MATCH(tbl_MovimentaçãoContaCorrente[[#Headers],[Nome Conta]],tbl_Bancos[#Headers],0))</f>
        <v>#N/A</v>
      </c>
      <c r="L4" t="e">
        <f>INDEX(tbl_TipoGasto[#Data],MATCH(tbl_MovimentaçãoContaCorrente[[#This Row],[Código Gasto]],tbl_TipoGasto[Código Gasto],0),MATCH(tbl_MovimentaçãoContaCorrente[[#Headers],[Gasto]],tbl_TipoGasto[#Headers],0))</f>
        <v>#N/A</v>
      </c>
      <c r="O4">
        <v>1</v>
      </c>
      <c r="P4" t="s">
        <v>58</v>
      </c>
      <c r="Q4" t="s">
        <v>58</v>
      </c>
      <c r="T4">
        <v>1</v>
      </c>
      <c r="U4" t="s">
        <v>98</v>
      </c>
      <c r="W4">
        <v>1</v>
      </c>
      <c r="X4" t="s">
        <v>111</v>
      </c>
    </row>
    <row r="5" spans="3:24" x14ac:dyDescent="0.25">
      <c r="O5">
        <v>2</v>
      </c>
      <c r="P5" t="s">
        <v>84</v>
      </c>
      <c r="Q5" t="s">
        <v>84</v>
      </c>
      <c r="T5">
        <v>2</v>
      </c>
      <c r="U5" t="s">
        <v>97</v>
      </c>
      <c r="W5">
        <v>2</v>
      </c>
      <c r="X5" t="s">
        <v>112</v>
      </c>
    </row>
    <row r="6" spans="3:24" x14ac:dyDescent="0.25">
      <c r="O6">
        <v>3</v>
      </c>
      <c r="P6" t="s">
        <v>108</v>
      </c>
      <c r="Q6" t="s">
        <v>108</v>
      </c>
      <c r="T6">
        <v>3</v>
      </c>
      <c r="U6" t="s">
        <v>100</v>
      </c>
      <c r="W6">
        <v>3</v>
      </c>
      <c r="X6" t="s">
        <v>117</v>
      </c>
    </row>
    <row r="7" spans="3:24" x14ac:dyDescent="0.25">
      <c r="O7">
        <v>4</v>
      </c>
      <c r="P7" t="s">
        <v>147</v>
      </c>
      <c r="Q7" t="s">
        <v>147</v>
      </c>
      <c r="T7">
        <v>4</v>
      </c>
      <c r="U7" t="s">
        <v>99</v>
      </c>
      <c r="W7">
        <v>4</v>
      </c>
      <c r="X7" t="s">
        <v>118</v>
      </c>
    </row>
    <row r="8" spans="3:24" x14ac:dyDescent="0.25">
      <c r="T8">
        <v>5</v>
      </c>
      <c r="U8" t="s">
        <v>104</v>
      </c>
    </row>
    <row r="9" spans="3:24" x14ac:dyDescent="0.25">
      <c r="T9">
        <v>6</v>
      </c>
      <c r="U9" t="s">
        <v>103</v>
      </c>
    </row>
    <row r="10" spans="3:24" x14ac:dyDescent="0.25">
      <c r="T10">
        <v>7</v>
      </c>
      <c r="U10" t="s">
        <v>102</v>
      </c>
    </row>
    <row r="11" spans="3:24" x14ac:dyDescent="0.25">
      <c r="T11">
        <v>8</v>
      </c>
      <c r="U11" t="s">
        <v>101</v>
      </c>
    </row>
    <row r="12" spans="3:24" x14ac:dyDescent="0.25">
      <c r="T12">
        <v>9</v>
      </c>
      <c r="U12" t="s">
        <v>113</v>
      </c>
    </row>
    <row r="13" spans="3:24" x14ac:dyDescent="0.25">
      <c r="T13">
        <v>10</v>
      </c>
      <c r="U13" t="s">
        <v>114</v>
      </c>
    </row>
    <row r="14" spans="3:24" x14ac:dyDescent="0.25">
      <c r="T14">
        <v>11</v>
      </c>
      <c r="U14" t="s">
        <v>115</v>
      </c>
    </row>
    <row r="15" spans="3:24" x14ac:dyDescent="0.25">
      <c r="T15">
        <v>12</v>
      </c>
      <c r="U15" t="s">
        <v>54</v>
      </c>
    </row>
    <row r="16" spans="3:24" x14ac:dyDescent="0.25">
      <c r="T16">
        <v>13</v>
      </c>
      <c r="U16" t="s">
        <v>49</v>
      </c>
    </row>
    <row r="17" spans="20:21" x14ac:dyDescent="0.25">
      <c r="T17">
        <v>14</v>
      </c>
      <c r="U17" t="s">
        <v>116</v>
      </c>
    </row>
  </sheetData>
  <mergeCells count="4">
    <mergeCell ref="C2:L2"/>
    <mergeCell ref="O2:Q2"/>
    <mergeCell ref="T2:U2"/>
    <mergeCell ref="W2:X2"/>
  </mergeCell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6D969-7CE3-462B-9962-DBA5C0D451D9}">
  <sheetPr codeName="Planilha1"/>
  <dimension ref="A1:Q11"/>
  <sheetViews>
    <sheetView workbookViewId="0">
      <selection activeCell="G36" sqref="G36"/>
    </sheetView>
  </sheetViews>
  <sheetFormatPr defaultRowHeight="15" x14ac:dyDescent="0.25"/>
  <cols>
    <col min="1" max="2" width="10.7109375" bestFit="1" customWidth="1"/>
    <col min="5" max="5" width="26.5703125" bestFit="1" customWidth="1"/>
    <col min="6" max="6" width="11.28515625" bestFit="1" customWidth="1"/>
    <col min="7" max="7" width="15" bestFit="1" customWidth="1"/>
    <col min="11" max="11" width="10.28515625" bestFit="1" customWidth="1"/>
    <col min="12" max="12" width="22" bestFit="1" customWidth="1"/>
    <col min="13" max="13" width="16.5703125" bestFit="1" customWidth="1"/>
    <col min="14" max="14" width="11.140625" bestFit="1" customWidth="1"/>
    <col min="15" max="15" width="14.28515625" bestFit="1" customWidth="1"/>
    <col min="16" max="16" width="20.7109375" bestFit="1" customWidth="1"/>
    <col min="17" max="17" width="17.85546875" bestFit="1" customWidth="1"/>
  </cols>
  <sheetData>
    <row r="1" spans="1:17" x14ac:dyDescent="0.25">
      <c r="A1" s="30" t="s">
        <v>69</v>
      </c>
      <c r="B1" s="30"/>
    </row>
    <row r="2" spans="1:17" x14ac:dyDescent="0.25">
      <c r="A2" s="7" t="s">
        <v>67</v>
      </c>
      <c r="B2" s="7" t="s">
        <v>68</v>
      </c>
    </row>
    <row r="3" spans="1:17" ht="15" customHeight="1" x14ac:dyDescent="0.25">
      <c r="A3" s="1">
        <v>43831</v>
      </c>
      <c r="B3" s="1">
        <v>44255</v>
      </c>
      <c r="E3" s="31" t="s">
        <v>70</v>
      </c>
      <c r="F3" s="31"/>
      <c r="G3" s="31"/>
      <c r="K3" s="31" t="s">
        <v>76</v>
      </c>
      <c r="L3" s="31"/>
      <c r="M3" s="31"/>
      <c r="N3" s="31"/>
      <c r="O3" s="31"/>
      <c r="P3" s="31"/>
      <c r="Q3" s="31"/>
    </row>
    <row r="4" spans="1:17" ht="15" customHeight="1" x14ac:dyDescent="0.25">
      <c r="E4" s="31"/>
      <c r="F4" s="31"/>
      <c r="G4" s="31"/>
      <c r="K4" s="31"/>
      <c r="L4" s="31"/>
      <c r="M4" s="31"/>
      <c r="N4" s="31"/>
      <c r="O4" s="31"/>
      <c r="P4" s="31"/>
      <c r="Q4" s="31"/>
    </row>
    <row r="5" spans="1:17" x14ac:dyDescent="0.25">
      <c r="E5" t="s">
        <v>60</v>
      </c>
      <c r="F5" s="7" t="s">
        <v>50</v>
      </c>
      <c r="G5" s="38" t="s">
        <v>59</v>
      </c>
      <c r="K5" s="7" t="s">
        <v>71</v>
      </c>
      <c r="L5" s="38" t="s">
        <v>81</v>
      </c>
      <c r="M5" s="38" t="s">
        <v>75</v>
      </c>
      <c r="N5" s="38" t="s">
        <v>72</v>
      </c>
      <c r="O5" s="38" t="s">
        <v>73</v>
      </c>
      <c r="P5" s="38" t="s">
        <v>77</v>
      </c>
      <c r="Q5" s="38" t="s">
        <v>74</v>
      </c>
    </row>
    <row r="6" spans="1:17" x14ac:dyDescent="0.25">
      <c r="E6" t="s">
        <v>64</v>
      </c>
      <c r="F6" s="4" cm="1">
        <f t="array" ref="F6">SUM(SUMIFS(tbl_MovimentaçõesAções[Total],tbl_MovimentaçõesAções[Segmento Ajustado],tbl_grf_DadosSegmentos[[#This Row],[Segmento Ajustado]], tbl_MovimentaçõesAções[Data],FN_RetornarListaDatas(tbl_DatasPainel[Início],tbl_DatasPainel[Fim])))</f>
        <v>0</v>
      </c>
      <c r="G6" s="8" t="e">
        <f>tbl_grf_DadosSegmentos[[#This Row],[Total]] / SUM(tbl_grf_DadosSegmentos[Total])</f>
        <v>#DIV/0!</v>
      </c>
      <c r="K6" s="26" t="s">
        <v>39</v>
      </c>
      <c r="L6" s="9">
        <f>IF(tbl_ResumoMovimentações[[#This Row],[Qt. Saídas]] &lt;&gt; 0, IFERROR(SUMIFS(tbl_MovimentaçõesAções[Total], tbl_MovimentaçõesAções[Sigla Ativo], tbl_ResumoMovimentações[[#This Row],[Ativo]], tbl_MovimentaçõesAções[Quantidade], "&gt;"&amp;0) / SUMIFS(tbl_MovimentaçõesAções[Quantidade], tbl_MovimentaçõesAções[Sigla Ativo], tbl_ResumoMovimentações[[#This Row],[Ativo]], tbl_MovimentaçõesAções[Quantidade], "&gt;"&amp;0), 0), 0)</f>
        <v>0</v>
      </c>
      <c r="M6" s="10" cm="1">
        <f t="array" ref="M6">SUM(SUMIFS(tbl_MovimentaçõesAções[Quantidade],tbl_MovimentaçõesAções[Sigla Ativo],tbl_ResumoMovimentações[[#This Row],[Ativo]], tbl_MovimentaçõesAções[Quantidade],"&gt;"&amp;0, tbl_MovimentaçõesAções[Data],FN_RetornarListaDatas(tbl_DatasPainel[Início],tbl_DatasPainel[Fim])))</f>
        <v>0</v>
      </c>
      <c r="N6" s="9" cm="1">
        <f t="array" ref="N6">IFERROR(SUM(SUMIFS(tbl_MovimentaçõesAções[Total], tbl_MovimentaçõesAções[Sigla Ativo], tbl_ResumoMovimentações[[#This Row],[Ativo]], tbl_MovimentaçõesAções[Quantidade], "&lt;"&amp;0, tbl_MovimentaçõesAções[Data],FN_RetornarListaDatas(tbl_DatasPainel[Início],tbl_DatasPainel[Fim]))) / SUM(SUMIFS(tbl_MovimentaçõesAções[Quantidade], tbl_MovimentaçõesAções[Sigla Ativo], tbl_ResumoMovimentações[[#This Row],[Ativo]], tbl_MovimentaçõesAções[Quantidade], "&lt;"&amp;0, tbl_MovimentaçõesAções[Data],FN_RetornarListaDatas(tbl_DatasPainel[Início],tbl_DatasPainel[Fim]))), 0)</f>
        <v>0</v>
      </c>
      <c r="O6" s="7" cm="1">
        <f t="array" ref="O6">SUM(SUMIFS(tbl_MovimentaçõesAções[Quantidade],tbl_MovimentaçõesAções[Sigla Ativo],tbl_ResumoMovimentações[[#This Row],[Ativo]], tbl_MovimentaçõesAções[Quantidade],"&lt;"&amp;0, tbl_MovimentaçõesAções[Data],FN_RetornarListaDatas(tbl_DatasPainel[Início],tbl_DatasPainel[Fim])))</f>
        <v>0</v>
      </c>
      <c r="P6" s="11">
        <f>((ABS(tbl_ResumoMovimentações[[#This Row],[Qt. Saídas]])*tbl_ResumoMovimentações[[#This Row],[Preço Médio atual]]) + (tbl_ResumoMovimentações[[#This Row],[Qt. Saídas]] *tbl_ResumoMovimentações[[#This Row],[Saídas]])) * -1</f>
        <v>0</v>
      </c>
      <c r="Q6" s="7">
        <f>SUMIFS(tbl_MovimentaçõesAções[Quantidade],tbl_MovimentaçõesAções[Sigla Ativo],tbl_ResumoMovimentações[[#This Row],[Ativo]])</f>
        <v>0</v>
      </c>
    </row>
    <row r="7" spans="1:17" x14ac:dyDescent="0.25">
      <c r="E7" t="s">
        <v>61</v>
      </c>
      <c r="F7" s="4" cm="1">
        <f t="array" ref="F7">SUM(SUMIFS(tbl_MovimentaçõesAções[Total],tbl_MovimentaçõesAções[Segmento Ajustado],tbl_grf_DadosSegmentos[[#This Row],[Segmento Ajustado]], tbl_MovimentaçõesAções[Data],FN_RetornarListaDatas(tbl_DatasPainel[Início],tbl_DatasPainel[Fim])))</f>
        <v>0</v>
      </c>
      <c r="G7" s="8" t="e">
        <f>tbl_grf_DadosSegmentos[[#This Row],[Total]] / SUM(tbl_grf_DadosSegmentos[Total])</f>
        <v>#DIV/0!</v>
      </c>
      <c r="K7" s="26" t="s">
        <v>40</v>
      </c>
      <c r="L7" s="9">
        <f>IF(tbl_ResumoMovimentações[[#This Row],[Qt. Saídas]] &lt;&gt; 0, IFERROR(SUMIFS(tbl_MovimentaçõesAções[Total], tbl_MovimentaçõesAções[Sigla Ativo], tbl_ResumoMovimentações[[#This Row],[Ativo]], tbl_MovimentaçõesAções[Quantidade], "&gt;"&amp;0) / SUMIFS(tbl_MovimentaçõesAções[Quantidade], tbl_MovimentaçõesAções[Sigla Ativo], tbl_ResumoMovimentações[[#This Row],[Ativo]], tbl_MovimentaçõesAções[Quantidade], "&gt;"&amp;0), 0), 0)</f>
        <v>0</v>
      </c>
      <c r="M7" s="12" cm="1">
        <f t="array" ref="M7">SUM(SUMIFS(tbl_MovimentaçõesAções[Quantidade],tbl_MovimentaçõesAções[Sigla Ativo],tbl_ResumoMovimentações[[#This Row],[Ativo]], tbl_MovimentaçõesAções[Quantidade],"&gt;"&amp;0, tbl_MovimentaçõesAções[Data],FN_RetornarListaDatas(tbl_DatasPainel[Início],tbl_DatasPainel[Fim])))</f>
        <v>0</v>
      </c>
      <c r="N7" s="11" cm="1">
        <f t="array" ref="N7">IFERROR(SUM(SUMIFS(tbl_MovimentaçõesAções[Total], tbl_MovimentaçõesAções[Sigla Ativo], tbl_ResumoMovimentações[[#This Row],[Ativo]], tbl_MovimentaçõesAções[Quantidade], "&lt;"&amp;0, tbl_MovimentaçõesAções[Data],FN_RetornarListaDatas(tbl_DatasPainel[Início],tbl_DatasPainel[Fim]))) / SUM(SUMIFS(tbl_MovimentaçõesAções[Quantidade], tbl_MovimentaçõesAções[Sigla Ativo], tbl_ResumoMovimentações[[#This Row],[Ativo]], tbl_MovimentaçõesAções[Quantidade], "&lt;"&amp;0, tbl_MovimentaçõesAções[Data],FN_RetornarListaDatas(tbl_DatasPainel[Início],tbl_DatasPainel[Fim]))), 0)</f>
        <v>0</v>
      </c>
      <c r="O7" s="7" cm="1">
        <f t="array" ref="O7">SUM(SUMIFS(tbl_MovimentaçõesAções[Quantidade],tbl_MovimentaçõesAções[Sigla Ativo],tbl_ResumoMovimentações[[#This Row],[Ativo]], tbl_MovimentaçõesAções[Quantidade],"&lt;"&amp;0, tbl_MovimentaçõesAções[Data],FN_RetornarListaDatas(tbl_DatasPainel[Início],tbl_DatasPainel[Fim])))</f>
        <v>0</v>
      </c>
      <c r="P7" s="11">
        <f>((ABS(tbl_ResumoMovimentações[[#This Row],[Qt. Saídas]])*tbl_ResumoMovimentações[[#This Row],[Preço Médio atual]]) + (tbl_ResumoMovimentações[[#This Row],[Qt. Saídas]] *tbl_ResumoMovimentações[[#This Row],[Saídas]])) * -1</f>
        <v>0</v>
      </c>
      <c r="Q7" s="7">
        <f>SUMIFS(tbl_MovimentaçõesAções[Quantidade],tbl_MovimentaçõesAções[Sigla Ativo],tbl_ResumoMovimentações[[#This Row],[Ativo]])</f>
        <v>0</v>
      </c>
    </row>
    <row r="8" spans="1:17" x14ac:dyDescent="0.25">
      <c r="E8" t="s">
        <v>62</v>
      </c>
      <c r="F8" s="4" cm="1">
        <f t="array" ref="F8">SUM(SUMIFS(tbl_MovimentaçõesAções[Total],tbl_MovimentaçõesAções[Segmento Ajustado],tbl_grf_DadosSegmentos[[#This Row],[Segmento Ajustado]], tbl_MovimentaçõesAções[Data],FN_RetornarListaDatas(tbl_DatasPainel[Início],tbl_DatasPainel[Fim])))</f>
        <v>0</v>
      </c>
      <c r="G8" s="8" t="e">
        <f>tbl_grf_DadosSegmentos[[#This Row],[Total]] / SUM(tbl_grf_DadosSegmentos[Total])</f>
        <v>#DIV/0!</v>
      </c>
      <c r="K8" s="26" t="s">
        <v>41</v>
      </c>
      <c r="L8" s="9">
        <f>IF(tbl_ResumoMovimentações[[#This Row],[Qt. Saídas]] &lt;&gt; 0, IFERROR(SUMIFS(tbl_MovimentaçõesAções[Total], tbl_MovimentaçõesAções[Sigla Ativo], tbl_ResumoMovimentações[[#This Row],[Ativo]], tbl_MovimentaçõesAções[Quantidade], "&gt;"&amp;0) / SUMIFS(tbl_MovimentaçõesAções[Quantidade], tbl_MovimentaçõesAções[Sigla Ativo], tbl_ResumoMovimentações[[#This Row],[Ativo]], tbl_MovimentaçõesAções[Quantidade], "&gt;"&amp;0), 0), 0)</f>
        <v>0</v>
      </c>
      <c r="M8" s="12" cm="1">
        <f t="array" ref="M8">SUM(SUMIFS(tbl_MovimentaçõesAções[Quantidade],tbl_MovimentaçõesAções[Sigla Ativo],tbl_ResumoMovimentações[[#This Row],[Ativo]], tbl_MovimentaçõesAções[Quantidade],"&gt;"&amp;0, tbl_MovimentaçõesAções[Data],FN_RetornarListaDatas(tbl_DatasPainel[Início],tbl_DatasPainel[Fim])))</f>
        <v>0</v>
      </c>
      <c r="N8" s="11" cm="1">
        <f t="array" ref="N8">IFERROR(SUM(SUMIFS(tbl_MovimentaçõesAções[Total], tbl_MovimentaçõesAções[Sigla Ativo], tbl_ResumoMovimentações[[#This Row],[Ativo]], tbl_MovimentaçõesAções[Quantidade], "&lt;"&amp;0, tbl_MovimentaçõesAções[Data],FN_RetornarListaDatas(tbl_DatasPainel[Início],tbl_DatasPainel[Fim]))) / SUM(SUMIFS(tbl_MovimentaçõesAções[Quantidade], tbl_MovimentaçõesAções[Sigla Ativo], tbl_ResumoMovimentações[[#This Row],[Ativo]], tbl_MovimentaçõesAções[Quantidade], "&lt;"&amp;0, tbl_MovimentaçõesAções[Data],FN_RetornarListaDatas(tbl_DatasPainel[Início],tbl_DatasPainel[Fim]))), 0)</f>
        <v>0</v>
      </c>
      <c r="O8" s="7" cm="1">
        <f t="array" ref="O8">SUM(SUMIFS(tbl_MovimentaçõesAções[Quantidade],tbl_MovimentaçõesAções[Sigla Ativo],tbl_ResumoMovimentações[[#This Row],[Ativo]], tbl_MovimentaçõesAções[Quantidade],"&lt;"&amp;0, tbl_MovimentaçõesAções[Data],FN_RetornarListaDatas(tbl_DatasPainel[Início],tbl_DatasPainel[Fim])))</f>
        <v>0</v>
      </c>
      <c r="P8" s="11">
        <f>((ABS(tbl_ResumoMovimentações[[#This Row],[Qt. Saídas]])*tbl_ResumoMovimentações[[#This Row],[Preço Médio atual]]) + (tbl_ResumoMovimentações[[#This Row],[Qt. Saídas]] *tbl_ResumoMovimentações[[#This Row],[Saídas]])) * -1</f>
        <v>0</v>
      </c>
      <c r="Q8" s="7">
        <f>SUMIFS(tbl_MovimentaçõesAções[Quantidade],tbl_MovimentaçõesAções[Sigla Ativo],tbl_ResumoMovimentações[[#This Row],[Ativo]])</f>
        <v>0</v>
      </c>
    </row>
    <row r="9" spans="1:17" x14ac:dyDescent="0.25">
      <c r="E9" t="s">
        <v>63</v>
      </c>
      <c r="F9" s="4" cm="1">
        <f t="array" ref="F9">SUM(SUMIFS(tbl_MovimentaçõesAções[Total],tbl_MovimentaçõesAções[Segmento Ajustado],tbl_grf_DadosSegmentos[[#This Row],[Segmento Ajustado]], tbl_MovimentaçõesAções[Data],FN_RetornarListaDatas(tbl_DatasPainel[Início],tbl_DatasPainel[Fim])))</f>
        <v>0</v>
      </c>
      <c r="G9" s="8" t="e">
        <f>tbl_grf_DadosSegmentos[[#This Row],[Total]] / SUM(tbl_grf_DadosSegmentos[Total])</f>
        <v>#DIV/0!</v>
      </c>
    </row>
    <row r="10" spans="1:17" x14ac:dyDescent="0.25">
      <c r="E10" t="s">
        <v>65</v>
      </c>
      <c r="F10" s="4" cm="1">
        <f t="array" ref="F10">SUM(SUMIFS(tbl_MovimentaçõesAções[Total],tbl_MovimentaçõesAções[Segmento Ajustado],tbl_grf_DadosSegmentos[[#This Row],[Segmento Ajustado]], tbl_MovimentaçõesAções[Data],FN_RetornarListaDatas(tbl_DatasPainel[Início],tbl_DatasPainel[Fim])))</f>
        <v>0</v>
      </c>
      <c r="G10" s="8" t="e">
        <f>tbl_grf_DadosSegmentos[[#This Row],[Total]] / SUM(tbl_grf_DadosSegmentos[Total])</f>
        <v>#DIV/0!</v>
      </c>
    </row>
    <row r="11" spans="1:17" x14ac:dyDescent="0.25">
      <c r="E11" t="s">
        <v>66</v>
      </c>
      <c r="F11" s="4" cm="1">
        <f t="array" ref="F11">SUM(SUMIFS(tbl_MovimentaçõesAções[Total],tbl_MovimentaçõesAções[Segmento Ajustado],tbl_grf_DadosSegmentos[[#This Row],[Segmento Ajustado]], tbl_MovimentaçõesAções[Data],FN_RetornarListaDatas(tbl_DatasPainel[Início],tbl_DatasPainel[Fim])))</f>
        <v>0</v>
      </c>
      <c r="G11" s="8" t="e">
        <f>tbl_grf_DadosSegmentos[[#This Row],[Total]] / SUM(tbl_grf_DadosSegmentos[Total])</f>
        <v>#DIV/0!</v>
      </c>
    </row>
  </sheetData>
  <mergeCells count="3">
    <mergeCell ref="A1:B1"/>
    <mergeCell ref="E3:G4"/>
    <mergeCell ref="K3:Q4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D7EFE-CC7E-4405-9A86-C3D1B3A173B0}">
  <sheetPr codeName="Planilha3"/>
  <dimension ref="C1:Z27"/>
  <sheetViews>
    <sheetView topLeftCell="B1" workbookViewId="0">
      <selection activeCell="AA11" sqref="AA11"/>
    </sheetView>
  </sheetViews>
  <sheetFormatPr defaultRowHeight="15" x14ac:dyDescent="0.25"/>
  <cols>
    <col min="3" max="3" width="10.7109375" bestFit="1" customWidth="1"/>
    <col min="4" max="4" width="12.42578125" customWidth="1"/>
    <col min="5" max="5" width="7.7109375" customWidth="1"/>
    <col min="6" max="6" width="10.7109375" bestFit="1" customWidth="1"/>
    <col min="7" max="7" width="13.5703125" customWidth="1"/>
    <col min="8" max="8" width="11" bestFit="1" customWidth="1"/>
    <col min="9" max="9" width="26.5703125" bestFit="1" customWidth="1"/>
    <col min="10" max="10" width="11" customWidth="1"/>
    <col min="12" max="12" width="10.7109375" bestFit="1" customWidth="1"/>
    <col min="13" max="13" width="26.42578125" bestFit="1" customWidth="1"/>
    <col min="17" max="17" width="10.7109375" bestFit="1" customWidth="1"/>
    <col min="18" max="18" width="12.42578125" customWidth="1"/>
    <col min="19" max="19" width="7.7109375" customWidth="1"/>
    <col min="20" max="20" width="11.7109375" customWidth="1"/>
    <col min="21" max="21" width="20.28515625" customWidth="1"/>
    <col min="22" max="22" width="14.7109375" customWidth="1"/>
    <col min="23" max="23" width="14.140625" customWidth="1"/>
    <col min="24" max="24" width="7.7109375" bestFit="1" customWidth="1"/>
    <col min="25" max="25" width="8.140625" bestFit="1" customWidth="1"/>
    <col min="26" max="26" width="15" customWidth="1"/>
  </cols>
  <sheetData>
    <row r="1" spans="3:26" x14ac:dyDescent="0.25">
      <c r="C1" s="32" t="s">
        <v>78</v>
      </c>
      <c r="D1" s="32"/>
      <c r="E1" s="32"/>
      <c r="F1" s="32"/>
      <c r="G1" s="32"/>
      <c r="H1" s="32"/>
      <c r="I1" s="32"/>
      <c r="L1" s="33" t="s">
        <v>79</v>
      </c>
      <c r="M1" s="33"/>
      <c r="N1" s="33"/>
      <c r="Q1" s="34" t="s">
        <v>80</v>
      </c>
      <c r="R1" s="34"/>
      <c r="S1" s="34"/>
      <c r="T1" s="34"/>
      <c r="U1" s="34"/>
      <c r="V1" s="34"/>
      <c r="W1" s="34"/>
      <c r="X1" s="34"/>
      <c r="Y1" s="34"/>
      <c r="Z1" s="34"/>
    </row>
    <row r="2" spans="3:26" x14ac:dyDescent="0.25">
      <c r="C2" s="32"/>
      <c r="D2" s="32"/>
      <c r="E2" s="32"/>
      <c r="F2" s="32"/>
      <c r="G2" s="32"/>
      <c r="H2" s="32"/>
      <c r="I2" s="32"/>
      <c r="L2" s="33"/>
      <c r="M2" s="33"/>
      <c r="N2" s="33"/>
      <c r="Q2" s="34"/>
      <c r="R2" s="34"/>
      <c r="S2" s="34"/>
      <c r="T2" s="34"/>
      <c r="U2" s="34"/>
      <c r="V2" s="34"/>
      <c r="W2" s="34"/>
      <c r="X2" s="34"/>
      <c r="Y2" s="34"/>
      <c r="Z2" s="34"/>
    </row>
    <row r="3" spans="3:26" x14ac:dyDescent="0.25">
      <c r="C3" t="s">
        <v>42</v>
      </c>
      <c r="D3" t="s">
        <v>43</v>
      </c>
      <c r="E3" t="s">
        <v>44</v>
      </c>
      <c r="F3" t="s">
        <v>45</v>
      </c>
      <c r="G3" t="s">
        <v>46</v>
      </c>
      <c r="H3" t="s">
        <v>50</v>
      </c>
      <c r="I3" s="37" t="s">
        <v>60</v>
      </c>
      <c r="L3" t="s">
        <v>42</v>
      </c>
      <c r="M3" t="s">
        <v>47</v>
      </c>
      <c r="N3" t="s">
        <v>48</v>
      </c>
      <c r="Q3" t="s">
        <v>42</v>
      </c>
      <c r="R3" t="s">
        <v>43</v>
      </c>
      <c r="S3" t="s">
        <v>44</v>
      </c>
      <c r="T3" t="s">
        <v>51</v>
      </c>
      <c r="U3" t="s">
        <v>52</v>
      </c>
      <c r="V3" t="s">
        <v>53</v>
      </c>
      <c r="W3" t="s">
        <v>54</v>
      </c>
      <c r="X3" s="37" t="s">
        <v>55</v>
      </c>
      <c r="Y3" s="37" t="s">
        <v>57</v>
      </c>
      <c r="Z3" s="37" t="s">
        <v>56</v>
      </c>
    </row>
    <row r="4" spans="3:26" x14ac:dyDescent="0.25">
      <c r="C4" s="1"/>
      <c r="F4" s="4"/>
      <c r="H4" s="4">
        <f>tbl_MovimentaçõesAções[[#This Row],[Preço]]*tbl_MovimentaçõesAções[[#This Row],[Quantidade]]</f>
        <v>0</v>
      </c>
      <c r="I4" s="4" t="e">
        <f>INDEX(tbl_Fundos[#Data],MATCH(tbl_MovimentaçõesAções[[#This Row],[Sigla Ativo]],tbl_Fundos[Sigla],0),MATCH(tbl_MovimentaçõesAções[[#Headers],[Segmento Ajustado]], tbl_Fundos[#Headers], 0))</f>
        <v>#N/A</v>
      </c>
      <c r="J4" s="4"/>
      <c r="L4" s="1"/>
      <c r="N4" s="4"/>
      <c r="Q4" s="1"/>
      <c r="T4" s="1"/>
      <c r="U4" s="1"/>
      <c r="V4" s="4"/>
      <c r="W4" s="4"/>
      <c r="X4" s="5" t="e">
        <f>tbl_Dividendos[[#This Row],[Rendimento]]/tbl_Dividendos[[#This Row],[Cotação Base]]</f>
        <v>#DIV/0!</v>
      </c>
      <c r="Y4" s="6">
        <f>SUMIFS(tbl_MovimentaçõesAções[Quantidade],tbl_MovimentaçõesAções[Sigla Ativo],tbl_Dividendos[[#This Row],[Sigla Ativo]],tbl_MovimentaçõesAções[Série],tbl_Dividendos[[#This Row],[Série]], tbl_MovimentaçõesAções[Data],"&lt;="&amp;tbl_Dividendos[[#This Row],[Data Base]])</f>
        <v>0</v>
      </c>
      <c r="Z4" s="4">
        <f>tbl_Dividendos[[#This Row],[Cotas]] * tbl_Dividendos[[#This Row],[Rendimento]]</f>
        <v>0</v>
      </c>
    </row>
    <row r="5" spans="3:26" x14ac:dyDescent="0.25">
      <c r="J5" s="4"/>
    </row>
    <row r="6" spans="3:26" x14ac:dyDescent="0.25">
      <c r="J6" s="4"/>
    </row>
    <row r="7" spans="3:26" x14ac:dyDescent="0.25">
      <c r="J7" s="4"/>
    </row>
    <row r="8" spans="3:26" x14ac:dyDescent="0.25">
      <c r="J8" s="4"/>
    </row>
    <row r="9" spans="3:26" x14ac:dyDescent="0.25">
      <c r="J9" s="4"/>
    </row>
    <row r="10" spans="3:26" x14ac:dyDescent="0.25">
      <c r="J10" s="4"/>
    </row>
    <row r="11" spans="3:26" x14ac:dyDescent="0.25">
      <c r="J11" s="4"/>
    </row>
    <row r="12" spans="3:26" x14ac:dyDescent="0.25">
      <c r="J12" s="4"/>
    </row>
    <row r="13" spans="3:26" x14ac:dyDescent="0.25">
      <c r="J13" s="4"/>
    </row>
    <row r="14" spans="3:26" x14ac:dyDescent="0.25">
      <c r="J14" s="4"/>
    </row>
    <row r="15" spans="3:26" x14ac:dyDescent="0.25">
      <c r="J15" s="4"/>
    </row>
    <row r="16" spans="3:26" x14ac:dyDescent="0.25">
      <c r="J16" s="4"/>
    </row>
    <row r="17" spans="6:10" x14ac:dyDescent="0.25">
      <c r="F17" s="1"/>
      <c r="G17" s="1"/>
      <c r="J17" s="4"/>
    </row>
    <row r="18" spans="6:10" x14ac:dyDescent="0.25">
      <c r="J18" s="4"/>
    </row>
    <row r="19" spans="6:10" x14ac:dyDescent="0.25">
      <c r="J19" s="4"/>
    </row>
    <row r="20" spans="6:10" x14ac:dyDescent="0.25">
      <c r="J20" s="4"/>
    </row>
    <row r="21" spans="6:10" x14ac:dyDescent="0.25">
      <c r="J21" s="4"/>
    </row>
    <row r="22" spans="6:10" x14ac:dyDescent="0.25">
      <c r="J22" s="4"/>
    </row>
    <row r="23" spans="6:10" x14ac:dyDescent="0.25">
      <c r="J23" s="4"/>
    </row>
    <row r="24" spans="6:10" x14ac:dyDescent="0.25">
      <c r="J24" s="4"/>
    </row>
    <row r="25" spans="6:10" x14ac:dyDescent="0.25">
      <c r="J25" s="4"/>
    </row>
    <row r="26" spans="6:10" x14ac:dyDescent="0.25">
      <c r="J26" s="4"/>
    </row>
    <row r="27" spans="6:10" x14ac:dyDescent="0.25">
      <c r="J27" s="4"/>
    </row>
  </sheetData>
  <mergeCells count="3">
    <mergeCell ref="C1:I2"/>
    <mergeCell ref="L1:N2"/>
    <mergeCell ref="Q1:Z2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65610-02B8-413B-97B5-665A6129F518}">
  <sheetPr codeName="Planilha7"/>
  <dimension ref="C3:S15"/>
  <sheetViews>
    <sheetView workbookViewId="0">
      <selection activeCell="I23" sqref="I23"/>
    </sheetView>
  </sheetViews>
  <sheetFormatPr defaultRowHeight="15" x14ac:dyDescent="0.25"/>
  <cols>
    <col min="3" max="3" width="16.42578125" customWidth="1"/>
    <col min="4" max="4" width="9.85546875" customWidth="1"/>
    <col min="5" max="5" width="11.5703125" customWidth="1"/>
    <col min="8" max="8" width="16.42578125" customWidth="1"/>
    <col min="9" max="9" width="51" bestFit="1" customWidth="1"/>
    <col min="10" max="10" width="7.42578125" customWidth="1"/>
    <col min="12" max="12" width="10.7109375" bestFit="1" customWidth="1"/>
    <col min="14" max="14" width="16.42578125" customWidth="1"/>
    <col min="15" max="15" width="9.85546875" customWidth="1"/>
  </cols>
  <sheetData>
    <row r="3" spans="3:19" x14ac:dyDescent="0.25">
      <c r="C3" s="35" t="s">
        <v>154</v>
      </c>
      <c r="D3" s="35"/>
      <c r="E3" s="35"/>
    </row>
    <row r="4" spans="3:19" x14ac:dyDescent="0.25">
      <c r="C4" t="s">
        <v>131</v>
      </c>
      <c r="D4" t="s">
        <v>132</v>
      </c>
      <c r="E4" t="s">
        <v>95</v>
      </c>
      <c r="H4" t="s">
        <v>131</v>
      </c>
      <c r="I4" t="s">
        <v>132</v>
      </c>
      <c r="J4" t="s">
        <v>145</v>
      </c>
      <c r="L4" t="s">
        <v>42</v>
      </c>
      <c r="M4" t="s">
        <v>144</v>
      </c>
      <c r="N4" t="s">
        <v>131</v>
      </c>
      <c r="O4" t="s">
        <v>132</v>
      </c>
      <c r="P4" t="s">
        <v>48</v>
      </c>
      <c r="Q4" t="s">
        <v>145</v>
      </c>
      <c r="R4" t="s">
        <v>50</v>
      </c>
      <c r="S4" t="s">
        <v>146</v>
      </c>
    </row>
    <row r="5" spans="3:19" x14ac:dyDescent="0.25">
      <c r="C5">
        <v>1</v>
      </c>
      <c r="D5" t="s">
        <v>133</v>
      </c>
      <c r="H5">
        <v>1</v>
      </c>
      <c r="I5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Tem imóveis bem localizados?</v>
      </c>
      <c r="J5">
        <v>2</v>
      </c>
      <c r="L5" s="1"/>
    </row>
    <row r="6" spans="3:19" x14ac:dyDescent="0.25">
      <c r="C6">
        <v>2</v>
      </c>
      <c r="D6" t="s">
        <v>134</v>
      </c>
      <c r="H6">
        <v>2</v>
      </c>
      <c r="I6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Tem bom gestor?</v>
      </c>
      <c r="J6">
        <v>2</v>
      </c>
    </row>
    <row r="7" spans="3:19" x14ac:dyDescent="0.25">
      <c r="C7">
        <v>3</v>
      </c>
      <c r="D7" t="s">
        <v>135</v>
      </c>
      <c r="H7">
        <v>3</v>
      </c>
      <c r="I7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Os imóveis são novos e estão em boas condições?</v>
      </c>
      <c r="J7">
        <v>1.5</v>
      </c>
    </row>
    <row r="8" spans="3:19" x14ac:dyDescent="0.25">
      <c r="C8">
        <v>4</v>
      </c>
      <c r="D8" t="s">
        <v>136</v>
      </c>
      <c r="H8">
        <v>4</v>
      </c>
      <c r="I8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Tem baixa vacância histórica (em relação ao seu setor)?</v>
      </c>
      <c r="J8">
        <v>1.5</v>
      </c>
    </row>
    <row r="9" spans="3:19" x14ac:dyDescent="0.25">
      <c r="C9">
        <v>5</v>
      </c>
      <c r="D9" t="s">
        <v>138</v>
      </c>
      <c r="H9">
        <v>5</v>
      </c>
      <c r="I9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Possui bons inquilinos?</v>
      </c>
      <c r="J9">
        <v>1.5</v>
      </c>
    </row>
    <row r="10" spans="3:19" x14ac:dyDescent="0.25">
      <c r="C10">
        <v>6</v>
      </c>
      <c r="D10" t="s">
        <v>139</v>
      </c>
      <c r="H10">
        <v>6</v>
      </c>
      <c r="I10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Tem boa diversificação interna?</v>
      </c>
      <c r="J10">
        <v>1</v>
      </c>
    </row>
    <row r="11" spans="3:19" x14ac:dyDescent="0.25">
      <c r="C11">
        <v>7</v>
      </c>
      <c r="D11" t="s">
        <v>137</v>
      </c>
      <c r="H11">
        <v>7</v>
      </c>
      <c r="I11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Tem bom histórico de distribuição de proventos?</v>
      </c>
      <c r="J11">
        <v>1.25</v>
      </c>
    </row>
    <row r="12" spans="3:19" x14ac:dyDescent="0.25">
      <c r="C12">
        <v>8</v>
      </c>
      <c r="D12" t="s">
        <v>140</v>
      </c>
      <c r="H12">
        <v>8</v>
      </c>
      <c r="I12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Apresenta características de perpetuidade?</v>
      </c>
      <c r="J12">
        <v>1.25</v>
      </c>
    </row>
    <row r="13" spans="3:19" x14ac:dyDescent="0.25">
      <c r="C13">
        <v>9</v>
      </c>
      <c r="D13" t="s">
        <v>141</v>
      </c>
      <c r="H13">
        <v>9</v>
      </c>
      <c r="I13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É replicável em sua região e em seu setor?</v>
      </c>
      <c r="J13">
        <v>1</v>
      </c>
    </row>
    <row r="14" spans="3:19" x14ac:dyDescent="0.25">
      <c r="C14">
        <v>10</v>
      </c>
      <c r="D14" t="s">
        <v>142</v>
      </c>
      <c r="H14">
        <v>10</v>
      </c>
      <c r="I14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Os imóveis do fundo são versáteis (multi-uso)?</v>
      </c>
      <c r="J14">
        <v>1</v>
      </c>
    </row>
    <row r="15" spans="3:19" x14ac:dyDescent="0.25">
      <c r="C15">
        <v>11</v>
      </c>
      <c r="D15" t="s">
        <v>143</v>
      </c>
      <c r="H15">
        <v>11</v>
      </c>
      <c r="I15" t="str">
        <f>INDEX(tbl_FII_CritériosAvaliação[#Data],MATCH(tbl_Fii_PesoCritério[[#This Row],[Código Critério]],tbl_FII_CritériosAvaliação[Código Critério],0),MATCH(tbl_Fii_PesoCritério[[#Headers],[Critério]],tbl_FII_CritériosAvaliação[#Headers],0))</f>
        <v>O fundo tem liquidez?</v>
      </c>
      <c r="J15">
        <v>0.5</v>
      </c>
    </row>
  </sheetData>
  <mergeCells count="1">
    <mergeCell ref="C3:E3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26751-AC53-4BBA-86FA-A29F4A86C704}">
  <sheetPr codeName="Planilha2"/>
  <dimension ref="C2:Y5"/>
  <sheetViews>
    <sheetView workbookViewId="0">
      <selection activeCell="B36" sqref="B36"/>
    </sheetView>
  </sheetViews>
  <sheetFormatPr defaultRowHeight="15" x14ac:dyDescent="0.25"/>
  <cols>
    <col min="4" max="4" width="62.85546875" bestFit="1" customWidth="1"/>
    <col min="5" max="5" width="18.42578125" bestFit="1" customWidth="1"/>
    <col min="6" max="6" width="39.85546875" bestFit="1" customWidth="1"/>
    <col min="7" max="7" width="16.28515625" customWidth="1"/>
    <col min="8" max="8" width="18" bestFit="1" customWidth="1"/>
    <col min="9" max="9" width="17.85546875" bestFit="1" customWidth="1"/>
    <col min="10" max="10" width="20.85546875" bestFit="1" customWidth="1"/>
    <col min="11" max="11" width="12.7109375" bestFit="1" customWidth="1"/>
    <col min="12" max="12" width="20.85546875" bestFit="1" customWidth="1"/>
    <col min="15" max="15" width="5.140625" bestFit="1" customWidth="1"/>
    <col min="16" max="16" width="12.28515625" customWidth="1"/>
    <col min="17" max="17" width="54.140625" bestFit="1" customWidth="1"/>
    <col min="18" max="18" width="10.28515625" customWidth="1"/>
    <col min="19" max="19" width="28.5703125" bestFit="1" customWidth="1"/>
    <col min="20" max="20" width="10.28515625" customWidth="1"/>
    <col min="21" max="21" width="13.5703125" bestFit="1" customWidth="1"/>
    <col min="22" max="22" width="9.140625" bestFit="1" customWidth="1"/>
    <col min="23" max="23" width="20.140625" bestFit="1" customWidth="1"/>
    <col min="24" max="24" width="14.7109375" bestFit="1" customWidth="1"/>
    <col min="25" max="25" width="42.7109375" bestFit="1" customWidth="1"/>
  </cols>
  <sheetData>
    <row r="2" spans="3:25" x14ac:dyDescent="0.25">
      <c r="C2" t="s">
        <v>0</v>
      </c>
      <c r="D2" t="s">
        <v>1</v>
      </c>
      <c r="E2" t="s">
        <v>8</v>
      </c>
      <c r="F2" t="s">
        <v>10</v>
      </c>
      <c r="G2" t="s">
        <v>2</v>
      </c>
      <c r="H2" t="s">
        <v>3</v>
      </c>
      <c r="I2" t="s">
        <v>4</v>
      </c>
      <c r="J2" t="s">
        <v>60</v>
      </c>
      <c r="K2" t="s">
        <v>37</v>
      </c>
      <c r="L2" s="36" t="s">
        <v>18</v>
      </c>
      <c r="O2" t="s">
        <v>36</v>
      </c>
      <c r="P2" t="s">
        <v>18</v>
      </c>
      <c r="Q2" t="s">
        <v>19</v>
      </c>
      <c r="R2" t="s">
        <v>3</v>
      </c>
      <c r="S2" t="s">
        <v>22</v>
      </c>
      <c r="T2" t="s">
        <v>28</v>
      </c>
      <c r="U2" t="s">
        <v>24</v>
      </c>
      <c r="V2" t="s">
        <v>26</v>
      </c>
      <c r="W2" t="s">
        <v>31</v>
      </c>
      <c r="X2" t="s">
        <v>30</v>
      </c>
      <c r="Y2" t="s">
        <v>34</v>
      </c>
    </row>
    <row r="3" spans="3:25" x14ac:dyDescent="0.25">
      <c r="C3" t="s">
        <v>39</v>
      </c>
      <c r="D3" t="s">
        <v>5</v>
      </c>
      <c r="E3" t="s">
        <v>9</v>
      </c>
      <c r="F3" t="s">
        <v>11</v>
      </c>
      <c r="G3" t="s">
        <v>7</v>
      </c>
      <c r="H3" t="s">
        <v>12</v>
      </c>
      <c r="I3" s="1">
        <v>44182</v>
      </c>
      <c r="J3" t="s">
        <v>64</v>
      </c>
      <c r="K3" s="3">
        <v>1</v>
      </c>
      <c r="L3" t="str">
        <f>VLOOKUP(tbl_Fundos[[#This Row],[ID do ADM]], tbl_DadosAdministradores[#Data],MATCH(tbl_Fundos[[#Headers],[Sigla ADM]], tbl_DadosAdministradores[#Headers],0))</f>
        <v>BTG Pactual</v>
      </c>
      <c r="O3">
        <v>1</v>
      </c>
      <c r="P3" t="s">
        <v>6</v>
      </c>
      <c r="Q3" t="s">
        <v>20</v>
      </c>
      <c r="R3" t="s">
        <v>21</v>
      </c>
      <c r="S3" t="s">
        <v>23</v>
      </c>
      <c r="T3" t="s">
        <v>29</v>
      </c>
      <c r="U3" t="s">
        <v>25</v>
      </c>
      <c r="V3" t="s">
        <v>27</v>
      </c>
      <c r="W3" s="2" t="s">
        <v>32</v>
      </c>
      <c r="X3" t="s">
        <v>33</v>
      </c>
      <c r="Y3" s="2" t="s">
        <v>35</v>
      </c>
    </row>
    <row r="4" spans="3:25" x14ac:dyDescent="0.25">
      <c r="C4" t="s">
        <v>40</v>
      </c>
      <c r="D4" t="s">
        <v>13</v>
      </c>
      <c r="E4" t="s">
        <v>9</v>
      </c>
      <c r="F4" t="s">
        <v>38</v>
      </c>
      <c r="G4" t="s">
        <v>7</v>
      </c>
      <c r="H4" t="s">
        <v>14</v>
      </c>
      <c r="I4" s="1">
        <v>44182</v>
      </c>
      <c r="J4" t="s">
        <v>61</v>
      </c>
      <c r="K4" s="3">
        <v>1</v>
      </c>
      <c r="L4" t="str">
        <f>VLOOKUP(tbl_Fundos[[#This Row],[ID do ADM]], tbl_DadosAdministradores[#Data],MATCH(tbl_Fundos[[#Headers],[Sigla ADM]], tbl_DadosAdministradores[#Headers],0))</f>
        <v>BTG Pactual</v>
      </c>
    </row>
    <row r="5" spans="3:25" x14ac:dyDescent="0.25">
      <c r="C5" t="s">
        <v>41</v>
      </c>
      <c r="D5" t="s">
        <v>15</v>
      </c>
      <c r="E5" t="s">
        <v>9</v>
      </c>
      <c r="F5" t="s">
        <v>16</v>
      </c>
      <c r="G5" t="s">
        <v>7</v>
      </c>
      <c r="H5" t="s">
        <v>17</v>
      </c>
      <c r="I5" s="1">
        <v>44182</v>
      </c>
      <c r="J5" t="s">
        <v>62</v>
      </c>
      <c r="K5" s="3">
        <v>1</v>
      </c>
      <c r="L5" t="str">
        <f>VLOOKUP(tbl_Fundos[[#This Row],[ID do ADM]], tbl_DadosAdministradores[#Data],MATCH(tbl_Fundos[[#Headers],[Sigla ADM]], tbl_DadosAdministradores[#Headers],0))</f>
        <v>BTG Pactual</v>
      </c>
    </row>
  </sheetData>
  <hyperlinks>
    <hyperlink ref="W3" r:id="rId1" xr:uid="{CA370C19-65F4-48E2-A85D-5C197E29AF71}"/>
    <hyperlink ref="Y3" r:id="rId2" xr:uid="{7B17156E-26AE-4DF7-AB99-22DFC4461FBE}"/>
  </hyperlinks>
  <pageMargins left="0.511811024" right="0.511811024" top="0.78740157499999996" bottom="0.78740157499999996" header="0.31496062000000002" footer="0.31496062000000002"/>
  <pageSetup paperSize="9" orientation="portrait"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Painel</vt:lpstr>
      <vt:lpstr>Cartão Crédito</vt:lpstr>
      <vt:lpstr>Movimentação Bancária</vt:lpstr>
      <vt:lpstr>Painel - FIIs</vt:lpstr>
      <vt:lpstr>Movimentações</vt:lpstr>
      <vt:lpstr>FII - Avaliações</vt:lpstr>
      <vt:lpstr>Bases (Fundos e ADMs)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2021-02-11T23:59:52Z</dcterms:created>
  <dcterms:modified xsi:type="dcterms:W3CDTF">2021-02-12T01:14:56Z</dcterms:modified>
</cp:coreProperties>
</file>